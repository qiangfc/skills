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220ee00a7a4c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ot Cause Categories" sheetId="1" r:id="Rc16eb3b5dcf948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0">
    <x:numFmt numFmtId="200" formatCode="0&quot;/40&quot;"/>
    <x:numFmt numFmtId="201" formatCode="0&quot;/50&quot;"/>
    <x:numFmt numFmtId="202" formatCode="0&quot;/45&quot;"/>
    <x:numFmt numFmtId="203" formatCode="0&quot;/60&quot;"/>
    <x:numFmt numFmtId="204" formatCode="0&quot;/43&quot;"/>
    <x:numFmt numFmtId="205" formatCode="0&quot;/34&quot;"/>
    <x:numFmt numFmtId="206" formatCode="0&quot;/24&quot;"/>
    <x:numFmt numFmtId="207" formatCode="0&quot;/38&quot;"/>
    <x:numFmt numFmtId="208" formatCode="0&quot;/61&quot;"/>
    <x:numFmt numFmtId="209" formatCode="0&quot;/44&quot;"/>
    <x:numFmt numFmtId="210" formatCode="0&quot;/35&quot;"/>
    <x:numFmt numFmtId="211" formatCode="0&quot;/36&quot;"/>
    <x:numFmt numFmtId="212" formatCode="0&quot;/22&quot;"/>
    <x:numFmt numFmtId="213" formatCode="0&quot;/47&quot;"/>
    <x:numFmt numFmtId="214" formatCode="0&quot;/53&quot;"/>
    <x:numFmt numFmtId="215" formatCode="0&quot;/27&quot;"/>
    <x:numFmt numFmtId="216" formatCode="0&quot;/39&quot;"/>
    <x:numFmt numFmtId="217" formatCode="0&quot;/20&quot;"/>
    <x:numFmt numFmtId="218" formatCode="0&quot;/26&quot;"/>
    <x:numFmt numFmtId="219" formatCode="0&quot;/19&quot;"/>
  </x:numFmts>
  <x:fonts count="5">
    <x:font>
      <x:sz val="11"/>
      <x:name val="Carlito"/>
    </x:font>
    <x:font>
      <x:b/>
      <x:sz val="11"/>
      <x:color rgb="FFFFFFFF"/>
      <x:name val="等线"/>
      <x:family val="2"/>
    </x:font>
    <x:font>
      <x:b/>
      <x:sz val="11"/>
      <x:color rgb="FFFFFFFF"/>
      <x:name val="等线"/>
      <x:family val="3"/>
    </x:font>
    <x:font>
      <x:sz val="11"/>
      <x:color rgb="FF20313F"/>
      <x:name val="Arial"/>
      <x:family val="2"/>
    </x:font>
    <x:font>
      <x:sz val="11"/>
      <x:color rgb="FF222222"/>
      <x:name val="等线"/>
      <x:family val="3"/>
    </x:font>
  </x:fonts>
  <x:fills count="3">
    <x:fill>
      <x:patternFill patternType="none"/>
    </x:fill>
    <x:fill>
      <x:patternFill patternType="gray125"/>
    </x:fill>
    <x:fill>
      <x:patternFill patternType="solid">
        <x:fgColor rgb="FF24476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2" fillId="2" borderId="0" xfId="0" applyFont="1" applyFill="1" applyAlignment="1">
      <x:alignment horizontal="center" vertical="center" wrapText="1"/>
    </x:xf>
    <x:xf numFmtId="0" fontId="3" fillId="0" borderId="0" xfId="0" applyFont="1" applyAlignment="1">
      <x:alignment vertical="top" wrapText="1"/>
    </x:xf>
    <x:xf numFmtId="3" fontId="3" fillId="0" borderId="0" xfId="0" applyNumberFormat="1" applyFont="1" applyAlignment="1">
      <x:alignment horizontal="left" vertical="top" wrapText="1"/>
    </x:xf>
    <x:xf numFmtId="10" fontId="3" fillId="0" borderId="0" xfId="0" applyNumberFormat="1" applyFont="1" applyAlignment="1">
      <x:alignment horizontal="left" vertical="top" wrapText="1"/>
    </x:xf>
    <x:xf numFmtId="0" fontId="3" fillId="0" borderId="0" xfId="0" applyFont="1" applyAlignment="1">
      <x:alignment horizontal="left" vertical="top" wrapText="1"/>
    </x:xf>
    <x:xf numFmtId="0" fontId="4" fillId="0" borderId="0" xfId="0" applyFont="1" applyAlignment="1">
      <x:alignment horizontal="left" vertical="top" wrapText="1"/>
    </x:xf>
    <x:xf numFmtId="2" fontId="4" fillId="0" borderId="0" xfId="0" applyNumberFormat="1" applyFont="1" applyAlignment="1">
      <x:alignment horizontal="right" vertical="center"/>
    </x:xf>
    <x:xf numFmtId="200" fontId="4" fillId="0" borderId="0" xfId="0" applyNumberFormat="1" applyFont="1" applyAlignment="1">
      <x:alignment horizontal="right" vertical="center"/>
    </x:xf>
    <x:xf numFmtId="4" fontId="4" fillId="0" borderId="0" xfId="0" applyNumberFormat="1" applyFont="1" applyAlignment="1">
      <x:alignment horizontal="right" vertical="center"/>
    </x:xf>
    <x:xf numFmtId="201" fontId="4" fillId="0" borderId="0" xfId="0" applyNumberFormat="1" applyFont="1" applyAlignment="1">
      <x:alignment horizontal="right" vertical="center"/>
    </x:xf>
    <x:xf numFmtId="202" fontId="4" fillId="0" borderId="0" xfId="0" applyNumberFormat="1" applyFont="1" applyAlignment="1">
      <x:alignment horizontal="right" vertical="center"/>
    </x:xf>
    <x:xf numFmtId="203" fontId="4" fillId="0" borderId="0" xfId="0" applyNumberFormat="1" applyFont="1" applyAlignment="1">
      <x:alignment horizontal="right" vertical="center"/>
    </x:xf>
    <x:xf numFmtId="204" fontId="4" fillId="0" borderId="0" xfId="0" applyNumberFormat="1" applyFont="1" applyAlignment="1">
      <x:alignment horizontal="right" vertical="center"/>
    </x:xf>
    <x:xf numFmtId="205" fontId="4" fillId="0" borderId="0" xfId="0" applyNumberFormat="1" applyFont="1" applyAlignment="1">
      <x:alignment horizontal="right" vertical="center"/>
    </x:xf>
    <x:xf numFmtId="206" fontId="4" fillId="0" borderId="0" xfId="0" applyNumberFormat="1" applyFont="1" applyAlignment="1">
      <x:alignment horizontal="right" vertical="center"/>
    </x:xf>
    <x:xf numFmtId="207" fontId="4" fillId="0" borderId="0" xfId="0" applyNumberFormat="1" applyFont="1" applyAlignment="1">
      <x:alignment horizontal="right" vertical="center"/>
    </x:xf>
    <x:xf numFmtId="208" fontId="4" fillId="0" borderId="0" xfId="0" applyNumberFormat="1" applyFont="1" applyAlignment="1">
      <x:alignment horizontal="right" vertical="center"/>
    </x:xf>
    <x:xf numFmtId="209" fontId="4" fillId="0" borderId="0" xfId="0" applyNumberFormat="1" applyFont="1" applyAlignment="1">
      <x:alignment horizontal="right" vertical="center"/>
    </x:xf>
    <x:xf numFmtId="210" fontId="4" fillId="0" borderId="0" xfId="0" applyNumberFormat="1" applyFont="1" applyAlignment="1">
      <x:alignment horizontal="right" vertical="center"/>
    </x:xf>
    <x:xf numFmtId="211" fontId="4" fillId="0" borderId="0" xfId="0" applyNumberFormat="1" applyFont="1" applyAlignment="1">
      <x:alignment horizontal="right" vertical="center"/>
    </x:xf>
    <x:xf numFmtId="212" fontId="4" fillId="0" borderId="0" xfId="0" applyNumberFormat="1" applyFont="1" applyAlignment="1">
      <x:alignment horizontal="right" vertical="center"/>
    </x:xf>
    <x:xf numFmtId="213" fontId="4" fillId="0" borderId="0" xfId="0" applyNumberFormat="1" applyFont="1" applyAlignment="1">
      <x:alignment horizontal="right" vertical="center"/>
    </x:xf>
    <x:xf numFmtId="214" fontId="4" fillId="0" borderId="0" xfId="0" applyNumberFormat="1" applyFont="1" applyAlignment="1">
      <x:alignment horizontal="right" vertical="center"/>
    </x:xf>
    <x:xf numFmtId="215" fontId="4" fillId="0" borderId="0" xfId="0" applyNumberFormat="1" applyFont="1" applyAlignment="1">
      <x:alignment horizontal="right" vertical="center"/>
    </x:xf>
    <x:xf numFmtId="216" fontId="4" fillId="0" borderId="0" xfId="0" applyNumberFormat="1" applyFont="1" applyAlignment="1">
      <x:alignment horizontal="right" vertical="center"/>
    </x:xf>
    <x:xf numFmtId="217" fontId="4" fillId="0" borderId="0" xfId="0" applyNumberFormat="1" applyFont="1" applyAlignment="1">
      <x:alignment horizontal="right" vertical="center"/>
    </x:xf>
    <x:xf numFmtId="218" fontId="4" fillId="0" borderId="0" xfId="0" applyNumberFormat="1" applyFont="1" applyAlignment="1">
      <x:alignment horizontal="right" vertical="center"/>
    </x:xf>
    <x:xf numFmtId="219" fontId="4" fillId="0" borderId="0" xfId="0" applyNumberFormat="1" applyFont="1" applyAlignment="1">
      <x:alignment horizontal="right" vertical="center"/>
    </x:xf>
    <x:xf numFmtId="3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7b2487dea740ab" /><Relationship Type="http://schemas.openxmlformats.org/officeDocument/2006/relationships/theme" Target="/xl/theme/theme1.xml" Id="R647ba0fd498c4c69" /><Relationship Type="http://schemas.openxmlformats.org/officeDocument/2006/relationships/sharedStrings" Target="/xl/sharedStrings.xml" Id="R15bd024db35f470f" /><Relationship Type="http://schemas.openxmlformats.org/officeDocument/2006/relationships/worksheet" Target="/xl/worksheets/sheet1.xml" Id="Rc16eb3b5dcf94842" /></Relationships>
</file>

<file path=xl/tables/table1.xml><?xml version="1.0" encoding="utf-8"?>
<x:table xmlns:x="http://schemas.openxmlformats.org/spreadsheetml/2006/main" id="1" name="Data1" displayName="Data1" ref="A1:N26" headerRowCount="1" totalsRowCount="0" totalsRowShown="0">
  <x:tableColumns count="14">
    <x:tableColumn id="1" name="Category ID"/>
    <x:tableColumn id="2" name="Category name"/>
    <x:tableColumn id="3" name="Initial code name"/>
    <x:tableColumn id="4" name="Full-sample count"/>
    <x:tableColumn id="5" name="Percentage"/>
    <x:tableColumn id="6" name="Stage counts and percentages"/>
    <x:tableColumn id="7" name="Duration counts and percentages"/>
    <x:tableColumn id="8" name="Mean handling duration&#10;(days)"/>
    <x:tableColumn id="9" name="Standard deviation&#10;(days)"/>
    <x:tableColumn id="10" name="Median handling duration&#10;(days)"/>
    <x:tableColumn id="11" name="Change-size sample count"/>
    <x:tableColumn id="12" name="Mean change size&#10;(lines)"/>
    <x:tableColumn id="13" name="Median change size&#10;(lines)"/>
    <x:tableColumn id="14" name="Analysis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d37021ab6447a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2.6640625" hidden="0" customWidth="1"/>
    <x:col min="4" max="4" width="12.33203125" hidden="0" customWidth="1"/>
    <x:col min="5" max="5" width="14" hidden="0" customWidth="1"/>
    <x:col min="6" max="6" width="32" hidden="0" customWidth="1"/>
    <x:col min="7" max="7" width="44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50" hidden="0" customWidth="1"/>
    <x:col min="15" max="15" width="8.4140625" hidden="0" customWidth="1"/>
    <x:col min="16" max="16" width="8.4140625" hidden="0" customWidth="1"/>
    <x:col min="17" max="17" width="8.4140625" hidden="0" customWidth="1"/>
    <x:col min="18" max="18" width="8.4140625" hidden="0" customWidth="1"/>
    <x:col min="19" max="19" width="8.4140625" hidden="0" customWidth="1"/>
    <x:col min="20" max="20" width="8.4140625" hidden="0" customWidth="1"/>
    <x:col min="21" max="21" width="8.4140625" hidden="0" customWidth="1"/>
    <x:col min="22" max="22" width="8.4140625" hidden="0" customWidth="1"/>
  </x:cols>
  <x:sheetData>
    <x:row r="1" ht="48" customHeight="1">
      <x:c r="A1" s="1" t="str">
        <x:v>Category ID</x:v>
      </x:c>
      <x:c r="B1" s="1" t="str">
        <x:v>Category name</x:v>
      </x:c>
      <x:c r="C1" s="1" t="str">
        <x:v>Initial code name</x:v>
      </x:c>
      <x:c r="D1" s="1" t="str">
        <x:v>Full-sample count</x:v>
      </x:c>
      <x:c r="E1" s="1" t="str">
        <x:v>Percentage</x:v>
      </x:c>
      <x:c r="F1" s="1" t="str">
        <x:v>Stage counts and percentages</x:v>
      </x:c>
      <x:c r="G1" s="2" t="str">
        <x:v>Duration counts and percentages</x:v>
      </x:c>
      <x:c r="H1" s="2" t="str">
        <x:v>Mean handling duration
(days)</x:v>
      </x:c>
      <x:c r="I1" s="2" t="str">
        <x:v>Standard deviation
(days)</x:v>
      </x:c>
      <x:c r="J1" s="2" t="str">
        <x:v>Median handling duration
(days)</x:v>
      </x:c>
      <x:c r="K1" s="2" t="str">
        <x:v>Change-size sample count</x:v>
      </x:c>
      <x:c r="L1" s="2" t="str">
        <x:v>Mean change size
(lines)</x:v>
      </x:c>
      <x:c r="M1" s="2" t="str">
        <x:v>Median change size
(lines)</x:v>
      </x:c>
      <x:c r="N1" s="2" t="str">
        <x:v>Analysis</x:v>
      </x:c>
    </x:row>
    <x:row r="2" ht="192" customHeight="1">
      <x:c r="A2" s="3" t="str">
        <x:v>C01</x:v>
      </x:c>
      <x:c r="B2" s="3" t="str">
        <x:v>Content transformation errors</x:v>
      </x:c>
      <x:c r="C2" s="3" t="str">
        <x:v>Content transformation errors</x:v>
      </x:c>
      <x:c r="D2" s="4" t="n">
        <x:v>40</x:v>
      </x:c>
      <x:c r="E2" s="5" t="n">
        <x:f>D2/901</x:f>
        <x:v>0.04439511653718091</x:v>
      </x:c>
      <x:c r="F2" s="6" t="str">
        <x:v>Stage 1: 20.00% (8 reports)
Stage 2: 25.00% (10 reports)
Stage 3: 40.00% (16 reports)
Stage 4: 15.00% (6 reports)</x:v>
      </x:c>
      <x:c r="G2" s="7" t="str">
        <x:v>Easy ≤1 days: 45.00% (18 reports)
Medium (1,7] days: 20.00% (8 reports)
Hard (7,30] days: 17.50% (7 reports)
Very Hard &gt;30 days: 17.50% (7 reports)</x:v>
      </x:c>
      <x:c r="H2" s="8" t="n">
        <x:v>14.443721064814815</x:v>
      </x:c>
      <x:c r="I2" s="8" t="n">
        <x:v>31.223910109459567</x:v>
      </x:c>
      <x:c r="J2" s="8" t="n">
        <x:v>1.256527777777778</x:v>
      </x:c>
      <x:c r="K2" s="9" t="n">
        <x:v>19</x:v>
      </x:c>
      <x:c r="L2" s="10" t="n">
        <x:v>295.42105263157896</x:v>
      </x:c>
      <x:c r="M2" s="10" t="n">
        <x:v>204</x:v>
      </x:c>
      <x:c r="N2" s="7" t="str">
        <x:v>Content transformation errors: 40 reports. Resolution times of ≤1 day, (1, 7] days, (7, 30] days, and &gt;30 days account for 45.0%, 20.0%, 17.5%, and 17.5%, respectively. The mean resolution time is 14.44 days, the standard deviation is 31.22 days, and the median is 1.26 days. The mean is substantially above the median, indicating that some long-duration reports raise the mean. Change size is available for 19 reports, with a mean of 295.42 lines and a median of 204 lines; the latter is above the adjusted overall median of 120 lines.</x:v>
      </x:c>
    </x:row>
    <x:row r="3" ht="192" customHeight="1">
      <x:c r="A3" s="3" t="str">
        <x:v>C02</x:v>
      </x:c>
      <x:c r="B3" s="3" t="str">
        <x:v>Data-type or schema mismatches</x:v>
      </x:c>
      <x:c r="C3" s="3" t="str">
        <x:v>Data-type or schema mismatches</x:v>
      </x:c>
      <x:c r="D3" s="4" t="n">
        <x:v>50</x:v>
      </x:c>
      <x:c r="E3" s="5" t="n">
        <x:f>D3/901</x:f>
        <x:v>0.05549389567147614</x:v>
      </x:c>
      <x:c r="F3" s="6" t="str">
        <x:v>Stage 1: 4.00% (2 reports)
Stage 2: 10.00% (5 reports)
Stage 3: 60.00% (30 reports)
Stage 4: 26.00% (13 reports)</x:v>
      </x:c>
      <x:c r="G3" s="7" t="str">
        <x:v>Easy ≤1 days: 48.00% (24 reports)
Medium (1,7] days: 12.00% (6 reports)
Hard (7,30] days: 16.00% (8 reports)
Very Hard &gt;30 days: 24.00% (12 reports)</x:v>
      </x:c>
      <x:c r="H3" s="8" t="n">
        <x:v>18.097102777777778</x:v>
      </x:c>
      <x:c r="I3" s="8" t="n">
        <x:v>30.34575402363429</x:v>
      </x:c>
      <x:c r="J3" s="8" t="n">
        <x:v>1.6052835648148147</x:v>
      </x:c>
      <x:c r="K3" s="11" t="n">
        <x:v>24</x:v>
      </x:c>
      <x:c r="L3" s="10" t="n">
        <x:v>245</x:v>
      </x:c>
      <x:c r="M3" s="10" t="n">
        <x:v>45</x:v>
      </x:c>
      <x:c r="N3" s="7" t="str">
        <x:v>Data-type or schema mismatches: 50 reports. Resolution times of ≤1 day, (1, 7] days, (7, 30] days, and &gt;30 days account for 48.0%, 12.0%, 16.0%, and 24.0%, respectively. The mean resolution time is 18.10 days, the standard deviation is 30.35 days, and the median is 1.61 days. The mean is substantially above the median, indicating that some long-duration reports raise the mean. Change size is available for 24 reports, with a mean of 245.00 lines and a median of 45 lines; the latter is below the adjusted overall median of 120 lines.</x:v>
      </x:c>
    </x:row>
    <x:row r="4" ht="192" customHeight="1">
      <x:c r="A4" s="3" t="str">
        <x:v>C03</x:v>
      </x:c>
      <x:c r="B4" s="3" t="str">
        <x:v>Request parameter assembly errors</x:v>
      </x:c>
      <x:c r="C4" s="3" t="str">
        <x:v>Request parameter assembly errors</x:v>
      </x:c>
      <x:c r="D4" s="4" t="n">
        <x:v>45</x:v>
      </x:c>
      <x:c r="E4" s="5" t="n">
        <x:f>D4/901</x:f>
        <x:v>0.049944506104328525</x:v>
      </x:c>
      <x:c r="F4" s="6" t="str">
        <x:v>Stage 1: 11.11% (5 reports)
Stage 2: 26.67% (12 reports)
Stage 3: 53.33% (24 reports)
Stage 4: 8.89% (4 reports)</x:v>
      </x:c>
      <x:c r="G4" s="7" t="str">
        <x:v>Easy ≤1 days: 44.44% (20 reports)
Medium (1,7] days: 6.67% (3 reports)
Hard (7,30] days: 17.78% (8 reports)
Very Hard &gt;30 days: 31.11% (14 reports)</x:v>
      </x:c>
      <x:c r="H4" s="8" t="n">
        <x:v>19.515599022633744</x:v>
      </x:c>
      <x:c r="I4" s="8" t="n">
        <x:v>24.658715933109466</x:v>
      </x:c>
      <x:c r="J4" s="8" t="n">
        <x:v>5.204768518518518</x:v>
      </x:c>
      <x:c r="K4" s="12" t="n">
        <x:v>25</x:v>
      </x:c>
      <x:c r="L4" s="10" t="n">
        <x:v>257.84</x:v>
      </x:c>
      <x:c r="M4" s="10" t="n">
        <x:v>85</x:v>
      </x:c>
      <x:c r="N4" s="7" t="str">
        <x:v>Request parameter assembly errors: 45 reports. Resolution times of ≤1 day, (1, 7] days, (7, 30] days, and &gt;30 days account for 44.4%, 6.7%, 17.8%, and 31.1%, respectively. The mean resolution time is 19.52 days, the standard deviation is 24.66 days, and the median is 5.20 days. The mean is substantially above the median, indicating that some long-duration reports raise the mean. Change size is available for 25 reports, with a mean of 257.84 lines and a median of 85 lines; the latter is below the adjusted overall median of 120 lines.</x:v>
      </x:c>
    </x:row>
    <x:row r="5" ht="192" customHeight="1">
      <x:c r="A5" s="3" t="str">
        <x:v>C04</x:v>
      </x:c>
      <x:c r="B5" s="3" t="str">
        <x:v>Protocol adaptation inconsistencies</x:v>
      </x:c>
      <x:c r="C5" s="3" t="str">
        <x:v>Protocol adaptation inconsistencies</x:v>
      </x:c>
      <x:c r="D5" s="4" t="n">
        <x:v>60</x:v>
      </x:c>
      <x:c r="E5" s="5" t="n">
        <x:f>D5/901</x:f>
        <x:v>0.06659267480577137</x:v>
      </x:c>
      <x:c r="F5" s="6" t="str">
        <x:v>Stage 1: 15.00% (9 reports)
Stage 2: 3.33% (2 reports)
Stage 3: 50.00% (30 reports)
Stage 4: 31.67% (19 reports)</x:v>
      </x:c>
      <x:c r="G5" s="7" t="str">
        <x:v>Easy ≤1 days: 55.00% (33 reports)
Medium (1,7] days: 10.00% (6 reports)
Hard (7,30] days: 15.00% (9 reports)
Very Hard &gt;30 days: 20.00% (12 reports)</x:v>
      </x:c>
      <x:c r="H5" s="8" t="n">
        <x:v>12.601851466049382</x:v>
      </x:c>
      <x:c r="I5" s="8" t="n">
        <x:v>21.30511206158218</x:v>
      </x:c>
      <x:c r="J5" s="8" t="n">
        <x:v>0.786875</x:v>
      </x:c>
      <x:c r="K5" s="13" t="n">
        <x:v>26</x:v>
      </x:c>
      <x:c r="L5" s="10" t="n">
        <x:v>295.9230769230769</x:v>
      </x:c>
      <x:c r="M5" s="10" t="n">
        <x:v>156</x:v>
      </x:c>
      <x:c r="N5" s="7" t="str">
        <x:v>Protocol adaptation inconsistencies: 60 reports. Resolution times of ≤1 day, (1, 7] days, (7, 30] days, and &gt;30 days account for 55.0%, 10.0%, 15.0%, and 20.0%, respectively. The mean resolution time is 12.60 days, the standard deviation is 21.31 days, and the median is 0.79 days. The mean is substantially above the median, indicating that some long-duration reports raise the mean. Change size is available for 26 reports, with a mean of 295.92 lines and a median of 156 lines; the latter is above the adjusted overall median of 120 lines.</x:v>
      </x:c>
    </x:row>
    <x:row r="6" ht="192" customHeight="1">
      <x:c r="A6" s="3" t="str">
        <x:v>C05</x:v>
      </x:c>
      <x:c r="B6" s="3" t="str">
        <x:v>Identifier and association errors</x:v>
      </x:c>
      <x:c r="C6" s="3" t="str">
        <x:v>Identifier and association errors</x:v>
      </x:c>
      <x:c r="D6" s="4" t="n">
        <x:v>43</x:v>
      </x:c>
      <x:c r="E6" s="5" t="n">
        <x:f>D6/901</x:f>
        <x:v>0.04772475027746948</x:v>
      </x:c>
      <x:c r="F6" s="6" t="str">
        <x:v>Stage 1: 18.60% (8 reports)
Stage 2: 13.95% (6 reports)
Stage 3: 25.58% (11 reports)
Stage 4: 41.86% (18 reports)</x:v>
      </x:c>
      <x:c r="G6" s="7" t="str">
        <x:v>Easy ≤1 days: 51.16% (22 reports)
Medium (1,7] days: 30.23% (13 reports)
Hard (7,30] days: 2.33% (1 reports)
Very Hard &gt;30 days: 16.28% (7 reports)</x:v>
      </x:c>
      <x:c r="H6" s="8" t="n">
        <x:v>10.04178106158484</x:v>
      </x:c>
      <x:c r="I6" s="8" t="n">
        <x:v>21.112753676889707</x:v>
      </x:c>
      <x:c r="J6" s="8" t="n">
        <x:v>0.8515625</x:v>
      </x:c>
      <x:c r="K6" s="14" t="n">
        <x:v>27</x:v>
      </x:c>
      <x:c r="L6" s="10" t="n">
        <x:v>429.037037037037</x:v>
      </x:c>
      <x:c r="M6" s="10" t="n">
        <x:v>129</x:v>
      </x:c>
      <x:c r="N6" s="7" t="str">
        <x:v>Identifier and association errors: 43 reports. Resolution times of ≤1 day, (1, 7] days, (7, 30] days, and &gt;30 days account for 51.2%, 30.2%, 2.3%, and 16.3%, respectively. The mean resolution time is 10.04 days, the standard deviation is 21.11 days, and the median is 0.85 days. The mean is substantially above the median, indicating that some long-duration reports raise the mean. Change size is available for 27 reports, with a mean of 429.04 lines and a median of 129 lines; the latter is above the adjusted overall median of 120 lines.</x:v>
      </x:c>
    </x:row>
    <x:row r="7" ht="192" customHeight="1">
      <x:c r="A7" s="3" t="str">
        <x:v>C06</x:v>
      </x:c>
      <x:c r="B7" s="3" t="str">
        <x:v>Mutable-state synchronization and isolation errors</x:v>
      </x:c>
      <x:c r="C7" s="3" t="str">
        <x:v>Mutable-state synchronization and isolation errors</x:v>
      </x:c>
      <x:c r="D7" s="4" t="n">
        <x:v>34</x:v>
      </x:c>
      <x:c r="E7" s="5" t="n">
        <x:f>D7/901</x:f>
        <x:v>0.03773584905660377</x:v>
      </x:c>
      <x:c r="F7" s="6" t="str">
        <x:v>Stage 1: 14.71% (5 reports)
Stage 2: 32.35% (11 reports)
Stage 3: 23.53% (8 reports)
Stage 4: 29.41% (10 reports)</x:v>
      </x:c>
      <x:c r="G7" s="7" t="str">
        <x:v>Easy ≤1 days: 44.12% (15 reports)
Medium (1,7] days: 26.47% (9 reports)
Hard (7,30] days: 14.71% (5 reports)
Very Hard &gt;30 days: 14.71% (5 reports)</x:v>
      </x:c>
      <x:c r="H7" s="8" t="n">
        <x:v>10.159469975490197</x:v>
      </x:c>
      <x:c r="I7" s="8" t="n">
        <x:v>15.839921851577785</x:v>
      </x:c>
      <x:c r="J7" s="8" t="n">
        <x:v>1.19</x:v>
      </x:c>
      <x:c r="K7" s="15" t="n">
        <x:v>23</x:v>
      </x:c>
      <x:c r="L7" s="10" t="n">
        <x:v>506.3478260869565</x:v>
      </x:c>
      <x:c r="M7" s="10" t="n">
        <x:v>97</x:v>
      </x:c>
      <x:c r="N7" s="7" t="str">
        <x:v>Mutable-state synchronization and isolation errors: 34 reports. Resolution times of ≤1 day, (1, 7] days, (7, 30] days, and &gt;30 days account for 44.1%, 26.5%, 14.7%, and 14.7%, respectively. The mean resolution time is 10.16 days, the standard deviation is 15.84 days, and the median is 1.19 days. The mean is substantially above the median, indicating that some long-duration reports raise the mean. Change size is available for 23 reports, with a mean of 506.35 lines and a median of 97 lines; the latter is below the adjusted overall median of 120 lines.</x:v>
      </x:c>
    </x:row>
    <x:row r="8" ht="192" customHeight="1">
      <x:c r="A8" s="3" t="str">
        <x:v>C07</x:v>
      </x:c>
      <x:c r="B8" s="3" t="str">
        <x:v>Stale caches or snapshots</x:v>
      </x:c>
      <x:c r="C8" s="3" t="str">
        <x:v>Stale caches or snapshots</x:v>
      </x:c>
      <x:c r="D8" s="4" t="n">
        <x:v>24</x:v>
      </x:c>
      <x:c r="E8" s="5" t="n">
        <x:f>D8/901</x:f>
        <x:v>0.026637069922308545</x:v>
      </x:c>
      <x:c r="F8" s="6" t="str">
        <x:v>Stage 1: 20.83% (5 reports)
Stage 2: 41.67% (10 reports)
Stage 3: 20.83% (5 reports)
Stage 4: 16.67% (4 reports)</x:v>
      </x:c>
      <x:c r="G8" s="7" t="str">
        <x:v>Easy ≤1 days: 58.33% (14 reports)
Medium (1,7] days: 4.17% (1 reports)
Hard (7,30] days: 4.17% (1 reports)
Very Hard &gt;30 days: 33.33% (8 reports)</x:v>
      </x:c>
      <x:c r="H8" s="8" t="n">
        <x:v>22.868022762345678</x:v>
      </x:c>
      <x:c r="I8" s="8" t="n">
        <x:v>36.63404578153865</x:v>
      </x:c>
      <x:c r="J8" s="8" t="n">
        <x:v>0.3705555555555555</x:v>
      </x:c>
      <x:c r="K8" s="16" t="n">
        <x:v>12</x:v>
      </x:c>
      <x:c r="L8" s="10" t="n">
        <x:v>473.9166666666667</x:v>
      </x:c>
      <x:c r="M8" s="10" t="n">
        <x:v>296</x:v>
      </x:c>
      <x:c r="N8" s="7" t="str">
        <x:v>Stale caches or snapshots: 24 reports. Resolution times of ≤1 day, (1, 7] days, (7, 30] days, and &gt;30 days account for 58.3%, 4.2%, 4.2%, and 33.3%, respectively. The mean resolution time is 22.87 days, the standard deviation is 36.63 days, and the median is 0.37 days. The mean is substantially above the median, indicating that some long-duration reports raise the mean. Change size is available for 12 reports, with a mean of 473.92 lines and a median of 296 lines; the latter is above the adjusted overall median of 120 lines.</x:v>
      </x:c>
    </x:row>
    <x:row r="9" ht="192" customHeight="1">
      <x:c r="A9" s="3" t="str">
        <x:v>C08</x:v>
      </x:c>
      <x:c r="B9" s="3" t="str">
        <x:v>Context selection and injection errors</x:v>
      </x:c>
      <x:c r="C9" s="3" t="str">
        <x:v>Context selection and injection errors</x:v>
      </x:c>
      <x:c r="D9" s="4" t="n">
        <x:v>43</x:v>
      </x:c>
      <x:c r="E9" s="5" t="n">
        <x:f>D9/901</x:f>
        <x:v>0.04772475027746948</x:v>
      </x:c>
      <x:c r="F9" s="6" t="str">
        <x:v>Stage 1: 20.93% (9 reports)
Stage 2: 34.88% (15 reports)
Stage 3: 6.98% (3 reports)
Stage 4: 37.21% (16 reports)</x:v>
      </x:c>
      <x:c r="G9" s="7" t="str">
        <x:v>Easy ≤1 days: 44.19% (19 reports)
Medium (1,7] days: 13.95% (6 reports)
Hard (7,30] days: 11.63% (5 reports)
Very Hard &gt;30 days: 30.23% (13 reports)</x:v>
      </x:c>
      <x:c r="H9" s="8" t="n">
        <x:v>21.193069282945736</x:v>
      </x:c>
      <x:c r="I9" s="8" t="n">
        <x:v>30.11554069193343</x:v>
      </x:c>
      <x:c r="J9" s="8" t="n">
        <x:v>2.39</x:v>
      </x:c>
      <x:c r="K9" s="14" t="n">
        <x:v>20</x:v>
      </x:c>
      <x:c r="L9" s="10" t="n">
        <x:v>178.9</x:v>
      </x:c>
      <x:c r="M9" s="10" t="n">
        <x:v>69.5</x:v>
      </x:c>
      <x:c r="N9" s="7" t="str">
        <x:v>Context selection and injection errors: 43 reports. Resolution times of ≤1 day, (1, 7] days, (7, 30] days, and &gt;30 days account for 44.2%, 14.0%, 11.6%, and 30.2%, respectively. The mean resolution time is 21.19 days, the standard deviation is 30.12 days, and the median is 2.39 days. The mean is substantially above the median, indicating that some long-duration reports raise the mean. Change size is available for 20 reports, with a mean of 178.90 lines and a median of 69.5 lines; the latter is below the adjusted overall median of 120 lines.</x:v>
      </x:c>
    </x:row>
    <x:row r="10" ht="192" customHeight="1">
      <x:c r="A10" s="3" t="str">
        <x:v>C09</x:v>
      </x:c>
      <x:c r="B10" s="3" t="str">
        <x:v>Discovery and loading rule errors</x:v>
      </x:c>
      <x:c r="C10" s="3" t="str">
        <x:v>Discovery and loading rule errors</x:v>
      </x:c>
      <x:c r="D10" s="4" t="n">
        <x:v>38</x:v>
      </x:c>
      <x:c r="E10" s="5" t="n">
        <x:f>D10/901</x:f>
        <x:v>0.042175360710321866</x:v>
      </x:c>
      <x:c r="F10" s="6" t="str">
        <x:v>Stage 1: 21.05% (8 reports)
Stage 2: 63.16% (24 reports)
Stage 3: 7.89% (3 reports)
Stage 4: 7.89% (3 reports)</x:v>
      </x:c>
      <x:c r="G10" s="7" t="str">
        <x:v>Easy ≤1 days: 44.74% (17 reports)
Medium (1,7] days: 15.79% (6 reports)
Hard (7,30] days: 15.79% (6 reports)
Very Hard &gt;30 days: 23.68% (9 reports)</x:v>
      </x:c>
      <x:c r="H10" s="8" t="n">
        <x:v>13.74879416423002</x:v>
      </x:c>
      <x:c r="I10" s="8" t="n">
        <x:v>19.651762839417607</x:v>
      </x:c>
      <x:c r="J10" s="8" t="n">
        <x:v>1.5611574074074075</x:v>
      </x:c>
      <x:c r="K10" s="17" t="n">
        <x:v>19</x:v>
      </x:c>
      <x:c r="L10" s="10" t="n">
        <x:v>148.31578947368422</x:v>
      </x:c>
      <x:c r="M10" s="10" t="n">
        <x:v>145</x:v>
      </x:c>
      <x:c r="N10" s="7" t="str">
        <x:v>Discovery and loading rule errors: 38 reports. Resolution times of ≤1 day, (1, 7] days, (7, 30] days, and &gt;30 days account for 44.7%, 15.8%, 15.8%, and 23.7%, respectively. The mean resolution time is 13.75 days, the standard deviation is 19.65 days, and the median is 1.56 days. The mean is substantially above the median, indicating that some long-duration reports raise the mean. Change size is available for 19 reports, with a mean of 148.32 lines and a median of 145 lines; the latter is above the adjusted overall median of 120 lines.</x:v>
      </x:c>
    </x:row>
    <x:row r="11" ht="192" customHeight="1">
      <x:c r="A11" s="3" t="str">
        <x:v>C10</x:v>
      </x:c>
      <x:c r="B11" s="3" t="str">
        <x:v>Incorrect control-flow transitions</x:v>
      </x:c>
      <x:c r="C11" s="3" t="str">
        <x:v>Incorrect control-flow transitions</x:v>
      </x:c>
      <x:c r="D11" s="4" t="n">
        <x:v>61</x:v>
      </x:c>
      <x:c r="E11" s="5" t="n">
        <x:f>D11/901</x:f>
        <x:v>0.06770255271920089</x:v>
      </x:c>
      <x:c r="F11" s="6" t="str">
        <x:v>Stage 1: 29.51% (18 reports)
Stage 2: 13.11% (8 reports)
Stage 3: 16.39% (10 reports)
Stage 4: 40.98% (25 reports)</x:v>
      </x:c>
      <x:c r="G11" s="7" t="str">
        <x:v>Easy ≤1 days: 44.26% (27 reports)
Medium (1,7] days: 16.39% (10 reports)
Hard (7,30] days: 14.75% (9 reports)
Very Hard &gt;30 days: 24.59% (15 reports)</x:v>
      </x:c>
      <x:c r="H11" s="8" t="n">
        <x:v>17.675736187006677</x:v>
      </x:c>
      <x:c r="I11" s="8" t="n">
        <x:v>27.494797775894515</x:v>
      </x:c>
      <x:c r="J11" s="8" t="n">
        <x:v>2</x:v>
      </x:c>
      <x:c r="K11" s="18" t="n">
        <x:v>35</x:v>
      </x:c>
      <x:c r="L11" s="10" t="n">
        <x:v>921.4</x:v>
      </x:c>
      <x:c r="M11" s="10" t="n">
        <x:v>204</x:v>
      </x:c>
      <x:c r="N11" s="7" t="str">
        <x:v>Incorrect control-flow transitions: 61 reports. Resolution times of ≤1 day, (1, 7] days, (7, 30] days, and &gt;30 days account for 44.3%, 16.4%, 14.8%, and 24.6%, respectively. The mean resolution time is 17.68 days, the standard deviation is 27.49 days, and the median is 2.00 days. The mean is substantially above the median, indicating that some long-duration reports raise the mean. Change size is available for 35 reports, with a mean of 921.40 lines and a median of 204 lines; the latter is above the adjusted overall median of 120 lines.</x:v>
      </x:c>
    </x:row>
    <x:row r="12" ht="192" customHeight="1">
      <x:c r="A12" s="3" t="str">
        <x:v>C11</x:v>
      </x:c>
      <x:c r="B12" s="3" t="str">
        <x:v>Asynchronous lifecycle races</x:v>
      </x:c>
      <x:c r="C12" s="3" t="str">
        <x:v>Asynchronous lifecycle races</x:v>
      </x:c>
      <x:c r="D12" s="4" t="n">
        <x:v>44</x:v>
      </x:c>
      <x:c r="E12" s="5" t="n">
        <x:f>D12/901</x:f>
        <x:v>0.048834628190899</x:v>
      </x:c>
      <x:c r="F12" s="6" t="str">
        <x:v>Stage 1: 6.82% (3 reports)
Stage 2: 11.36% (5 reports)
Stage 3: 40.91% (18 reports)
Stage 4: 40.91% (18 reports)</x:v>
      </x:c>
      <x:c r="G12" s="7" t="str">
        <x:v>Easy ≤1 days: 47.73% (21 reports)
Medium (1,7] days: 25.00% (11 reports)
Hard (7,30] days: 9.09% (4 reports)
Very Hard &gt;30 days: 18.18% (8 reports)</x:v>
      </x:c>
      <x:c r="H12" s="8" t="n">
        <x:v>9.577418981481483</x:v>
      </x:c>
      <x:c r="I12" s="8" t="n">
        <x:v>16.179953010836716</x:v>
      </x:c>
      <x:c r="J12" s="8" t="n">
        <x:v>1.2467187499999999</x:v>
      </x:c>
      <x:c r="K12" s="19" t="n">
        <x:v>31</x:v>
      </x:c>
      <x:c r="L12" s="10" t="n">
        <x:v>403.61290322580646</x:v>
      </x:c>
      <x:c r="M12" s="10" t="n">
        <x:v>196</x:v>
      </x:c>
      <x:c r="N12" s="7" t="str">
        <x:v>Asynchronous lifecycle races: 44 reports. Resolution times of ≤1 day, (1, 7] days, (7, 30] days, and &gt;30 days account for 47.7%, 25.0%, 9.1%, and 18.2%, respectively. The mean resolution time is 9.58 days, the standard deviation is 16.18 days, and the median is 1.25 days. The mean is substantially above the median, indicating that some long-duration reports raise the mean. Change size is available for 31 reports, with a mean of 403.61 lines and a median of 196 lines; the latter is above the adjusted overall median of 120 lines.</x:v>
      </x:c>
    </x:row>
    <x:row r="13" ht="192" customHeight="1">
      <x:c r="A13" s="3" t="str">
        <x:v>C12</x:v>
      </x:c>
      <x:c r="B13" s="3" t="str">
        <x:v>Missing exception or boundary handling</x:v>
      </x:c>
      <x:c r="C13" s="3" t="str">
        <x:v>Missing exception or boundary handling</x:v>
      </x:c>
      <x:c r="D13" s="4" t="n">
        <x:v>35</x:v>
      </x:c>
      <x:c r="E13" s="5" t="n">
        <x:f>D13/901</x:f>
        <x:v>0.038845726970033294</x:v>
      </x:c>
      <x:c r="F13" s="6" t="str">
        <x:v>Stage 1: 5.71% (2 reports)
Stage 2: 28.57% (10 reports)
Stage 3: 31.43% (11 reports)
Stage 4: 34.29% (12 reports)</x:v>
      </x:c>
      <x:c r="G13" s="7" t="str">
        <x:v>Easy ≤1 days: 62.86% (22 reports)
Medium (1,7] days: 20.00% (7 reports)
Hard (7,30] days: 5.71% (2 reports)
Very Hard &gt;30 days: 11.43% (4 reports)</x:v>
      </x:c>
      <x:c r="H13" s="8" t="n">
        <x:v>8.760241071428572</x:v>
      </x:c>
      <x:c r="I13" s="8" t="n">
        <x:v>19.764803208781363</x:v>
      </x:c>
      <x:c r="J13" s="8" t="n">
        <x:v>0.18702546296296296</x:v>
      </x:c>
      <x:c r="K13" s="20" t="n">
        <x:v>22</x:v>
      </x:c>
      <x:c r="L13" s="10" t="n">
        <x:v>1619.409090909091</x:v>
      </x:c>
      <x:c r="M13" s="10" t="n">
        <x:v>33.5</x:v>
      </x:c>
      <x:c r="N13" s="7" t="str">
        <x:v>Missing exception or boundary handling: 35 reports. Resolution times of ≤1 day, (1, 7] days, (7, 30] days, and &gt;30 days account for 62.9%, 20.0%, 5.7%, and 11.4%, respectively. The mean resolution time is 8.76 days, the standard deviation is 19.76 days, and the median is 0.19 days. The mean is substantially above the median, indicating that some long-duration reports raise the mean. Change size is available for 22 reports, with a mean of 1619.41 lines and a median of 33.5 lines; the latter is below the adjusted overall median of 120 lines.</x:v>
      </x:c>
    </x:row>
    <x:row r="14" ht="192" customHeight="1">
      <x:c r="A14" s="3" t="str">
        <x:v>C13</x:v>
      </x:c>
      <x:c r="B14" s="3" t="str">
        <x:v>Incomplete error and result feedback</x:v>
      </x:c>
      <x:c r="C14" s="3" t="str">
        <x:v>Incomplete error and result feedback</x:v>
      </x:c>
      <x:c r="D14" s="4" t="n">
        <x:v>36</x:v>
      </x:c>
      <x:c r="E14" s="5" t="n">
        <x:f>D14/901</x:f>
        <x:v>0.03995560488346282</x:v>
      </x:c>
      <x:c r="F14" s="6" t="str">
        <x:v>Stage 1: 5.56% (2 reports)
Stage 2: 13.89% (5 reports)
Stage 3: 13.89% (5 reports)
Stage 4: 66.67% (24 reports)</x:v>
      </x:c>
      <x:c r="G14" s="7" t="str">
        <x:v>Easy ≤1 days: 47.22% (17 reports)
Medium (1,7] days: 13.89% (5 reports)
Hard (7,30] days: 13.89% (5 reports)
Very Hard &gt;30 days: 25.00% (9 reports)</x:v>
      </x:c>
      <x:c r="H14" s="8" t="n">
        <x:v>15.338695666152264</x:v>
      </x:c>
      <x:c r="I14" s="8" t="n">
        <x:v>23.277929859436682</x:v>
      </x:c>
      <x:c r="J14" s="8" t="n">
        <x:v>2.1947395833333334</x:v>
      </x:c>
      <x:c r="K14" s="21" t="n">
        <x:v>18</x:v>
      </x:c>
      <x:c r="L14" s="10" t="n">
        <x:v>280.8888888888889</x:v>
      </x:c>
      <x:c r="M14" s="10" t="n">
        <x:v>214.5</x:v>
      </x:c>
      <x:c r="N14" s="7" t="str">
        <x:v>Incomplete error and result feedback: 36 reports. Resolution times of ≤1 day, (1, 7] days, (7, 30] days, and &gt;30 days account for 47.2%, 13.9%, 13.9%, and 25.0%, respectively. The mean resolution time is 15.34 days, the standard deviation is 23.28 days, and the median is 2.19 days. The mean is substantially above the median, indicating that some long-duration reports raise the mean. Change size is available for 18 reports, with a mean of 280.89 lines and a median of 214.5 lines; the latter is above the adjusted overall median of 120 lines.</x:v>
      </x:c>
    </x:row>
    <x:row r="15" ht="192" customHeight="1">
      <x:c r="A15" s="3" t="str">
        <x:v>C14</x:v>
      </x:c>
      <x:c r="B15" s="3" t="str">
        <x:v>Incomplete artifact-delivery conversion</x:v>
      </x:c>
      <x:c r="C15" s="3" t="str">
        <x:v>Incomplete artifact-delivery conversion</x:v>
      </x:c>
      <x:c r="D15" s="4" t="n">
        <x:v>22</x:v>
      </x:c>
      <x:c r="E15" s="5" t="n">
        <x:f>D15/901</x:f>
        <x:v>0.0244173140954495</x:v>
      </x:c>
      <x:c r="F15" s="6" t="str">
        <x:v>Stage 1: 0.00% (0 reports)
Stage 2: 0.00% (0 reports)
Stage 3: 27.27% (6 reports)
Stage 4: 72.73% (16 reports)</x:v>
      </x:c>
      <x:c r="G15" s="7" t="str">
        <x:v>Easy ≤1 days: 31.82% (7 reports)
Medium (1,7] days: 13.64% (3 reports)
Hard (7,30] days: 18.18% (4 reports)
Very Hard &gt;30 days: 36.36% (8 reports)</x:v>
      </x:c>
      <x:c r="H15" s="8" t="n">
        <x:v>30.91553977272727</x:v>
      </x:c>
      <x:c r="I15" s="8" t="n">
        <x:v>41.54623900778184</x:v>
      </x:c>
      <x:c r="J15" s="8" t="n">
        <x:v>19.27366898148148</x:v>
      </x:c>
      <x:c r="K15" s="22" t="n">
        <x:v>10</x:v>
      </x:c>
      <x:c r="L15" s="10" t="n">
        <x:v>155.5</x:v>
      </x:c>
      <x:c r="M15" s="10" t="n">
        <x:v>58.5</x:v>
      </x:c>
      <x:c r="N15" s="7" t="str">
        <x:v>Incomplete artifact-delivery conversion: 22 reports. Resolution times of ≤1 day, (1, 7] days, (7, 30] days, and &gt;30 days account for 31.8%, 13.6%, 18.2%, and 36.4%, respectively. The mean resolution time is 30.92 days, the standard deviation is 41.55 days, and the median is 19.27 days. Change size is available for 10 reports, with a mean of 155.50 lines and a median of 58.5 lines; the latter is below the adjusted overall median of 120 lines.</x:v>
      </x:c>
    </x:row>
    <x:row r="16" ht="192" customHeight="1">
      <x:c r="A16" s="3" t="str">
        <x:v>C15</x:v>
      </x:c>
      <x:c r="B16" s="3" t="str">
        <x:v>Flawed security or authorization boundary checks</x:v>
      </x:c>
      <x:c r="C16" s="3" t="str">
        <x:v>Flawed security or authorization boundary checks</x:v>
      </x:c>
      <x:c r="D16" s="4" t="n">
        <x:v>47</x:v>
      </x:c>
      <x:c r="E16" s="5" t="n">
        <x:f>D16/901</x:f>
        <x:v>0.05216426193118757</x:v>
      </x:c>
      <x:c r="F16" s="6" t="str">
        <x:v>Stage 1: 19.15% (9 reports)
Stage 2: 59.57% (28 reports)
Stage 3: 12.77% (6 reports)
Stage 4: 8.51% (4 reports)</x:v>
      </x:c>
      <x:c r="G16" s="7" t="str">
        <x:v>Easy ≤1 days: 38.30% (18 reports)
Medium (1,7] days: 10.64% (5 reports)
Hard (7,30] days: 14.89% (7 reports)
Very Hard &gt;30 days: 36.17% (17 reports)</x:v>
      </x:c>
      <x:c r="H16" s="8" t="n">
        <x:v>20.42300507289204</x:v>
      </x:c>
      <x:c r="I16" s="8" t="n">
        <x:v>28.022755466805396</x:v>
      </x:c>
      <x:c r="J16" s="8" t="n">
        <x:v>7.582638888888889</x:v>
      </x:c>
      <x:c r="K16" s="23" t="n">
        <x:v>34</x:v>
      </x:c>
      <x:c r="L16" s="10" t="n">
        <x:v>268.88235294117646</x:v>
      </x:c>
      <x:c r="M16" s="10" t="n">
        <x:v>233</x:v>
      </x:c>
      <x:c r="N16" s="7" t="str">
        <x:v>Flawed security or authorization boundary checks: 47 reports. Resolution times of ≤1 day, (1, 7] days, (7, 30] days, and &gt;30 days account for 38.3%, 10.6%, 14.9%, and 36.2%, respectively. The mean resolution time is 20.42 days, the standard deviation is 28.02 days, and the median is 7.58 days. Change size is available for 34 reports, with a mean of 268.88 lines and a median of 233 lines; the latter is above the adjusted overall median of 120 lines.</x:v>
      </x:c>
    </x:row>
    <x:row r="17" ht="192" customHeight="1">
      <x:c r="A17" s="3" t="str">
        <x:v>C16</x:v>
      </x:c>
      <x:c r="B17" s="3" t="str">
        <x:v>Configuration handling errors</x:v>
      </x:c>
      <x:c r="C17" s="3" t="str">
        <x:v>Configuration handling errors</x:v>
      </x:c>
      <x:c r="D17" s="4" t="n">
        <x:v>47</x:v>
      </x:c>
      <x:c r="E17" s="5" t="n">
        <x:f>D17/901</x:f>
        <x:v>0.05216426193118757</x:v>
      </x:c>
      <x:c r="F17" s="6" t="str">
        <x:v>Stage 1: 19.15% (9 reports)
Stage 2: 42.55% (20 reports)
Stage 3: 36.17% (17 reports)
Stage 4: 2.13% (1 reports)</x:v>
      </x:c>
      <x:c r="G17" s="7" t="str">
        <x:v>Easy ≤1 days: 34.04% (16 reports)
Medium (1,7] days: 19.15% (9 reports)
Hard (7,30] days: 27.66% (13 reports)
Very Hard &gt;30 days: 19.15% (9 reports)</x:v>
      </x:c>
      <x:c r="H17" s="8" t="n">
        <x:v>14.270821611505122</x:v>
      </x:c>
      <x:c r="I17" s="8" t="n">
        <x:v>19.620423332035145</x:v>
      </x:c>
      <x:c r="J17" s="8" t="n">
        <x:v>3.6302777777777777</x:v>
      </x:c>
      <x:c r="K17" s="23" t="n">
        <x:v>25</x:v>
      </x:c>
      <x:c r="L17" s="10" t="n">
        <x:v>136.08</x:v>
      </x:c>
      <x:c r="M17" s="10" t="n">
        <x:v>86</x:v>
      </x:c>
      <x:c r="N17" s="7" t="str">
        <x:v>Configuration handling errors: 47 reports. Resolution times of ≤1 day, (1, 7] days, (7, 30] days, and &gt;30 days account for 34.0%, 19.1%, 27.7%, and 19.1%, respectively. The mean resolution time is 14.27 days, the standard deviation is 19.62 days, and the median is 3.63 days. The mean is substantially above the median, indicating that some long-duration reports raise the mean. Change size is available for 25 reports, with a mean of 136.08 lines and a median of 86 lines; the latter is below the adjusted overall median of 120 lines.</x:v>
      </x:c>
    </x:row>
    <x:row r="18" ht="192" customHeight="1">
      <x:c r="A18" s="3" t="str">
        <x:v>C17</x:v>
      </x:c>
      <x:c r="B18" s="3" t="str">
        <x:v>Unmet environmental prerequisites</x:v>
      </x:c>
      <x:c r="C18" s="3" t="str">
        <x:v>Unmet environmental prerequisites</x:v>
      </x:c>
      <x:c r="D18" s="4" t="n">
        <x:v>53</x:v>
      </x:c>
      <x:c r="E18" s="5" t="n">
        <x:f>D18/901</x:f>
        <x:v>0.058823529411764705</x:v>
      </x:c>
      <x:c r="F18" s="6" t="str">
        <x:v>Stage 1: 7.55% (4 reports)
Stage 2: 33.96% (18 reports)
Stage 3: 47.17% (25 reports)
Stage 4: 11.32% (6 reports)</x:v>
      </x:c>
      <x:c r="G18" s="7" t="str">
        <x:v>Easy ≤1 days: 47.17% (25 reports)
Medium (1,7] days: 18.87% (10 reports)
Hard (7,30] days: 9.43% (5 reports)
Very Hard &gt;30 days: 24.53% (13 reports)</x:v>
      </x:c>
      <x:c r="H18" s="8" t="n">
        <x:v>18.03663434661076</x:v>
      </x:c>
      <x:c r="I18" s="8" t="n">
        <x:v>33.07267147576837</x:v>
      </x:c>
      <x:c r="J18" s="8" t="n">
        <x:v>1.86</x:v>
      </x:c>
      <x:c r="K18" s="24" t="n">
        <x:v>13</x:v>
      </x:c>
      <x:c r="L18" s="10" t="n">
        <x:v>123.15384615384616</x:v>
      </x:c>
      <x:c r="M18" s="10" t="n">
        <x:v>61</x:v>
      </x:c>
      <x:c r="N18" s="7" t="str">
        <x:v>Unmet environmental prerequisites: 53 reports. Resolution times of ≤1 day, (1, 7] days, (7, 30] days, and &gt;30 days account for 47.2%, 18.9%, 9.4%, and 24.5%, respectively. The mean resolution time is 18.04 days, the standard deviation is 33.07 days, and the median is 1.86 days. The mean is substantially above the median, indicating that some long-duration reports raise the mean. Change size is available for 13 reports, with a mean of 123.15 lines and a median of 61 lines; the latter is below the adjusted overall median of 120 lines.</x:v>
      </x:c>
    </x:row>
    <x:row r="19" ht="192" customHeight="1">
      <x:c r="A19" s="3" t="str">
        <x:v>C18</x:v>
      </x:c>
      <x:c r="B19" s="3" t="str">
        <x:v>Platform, path, or process incompatibilities</x:v>
      </x:c>
      <x:c r="C19" s="3" t="str">
        <x:v>Platform, path, or process incompatibilities</x:v>
      </x:c>
      <x:c r="D19" s="4" t="n">
        <x:v>24</x:v>
      </x:c>
      <x:c r="E19" s="5" t="n">
        <x:f>D19/901</x:f>
        <x:v>0.026637069922308545</x:v>
      </x:c>
      <x:c r="F19" s="6" t="str">
        <x:v>Stage 1: 0.00% (0 reports)
Stage 2: 16.67% (4 reports)
Stage 3: 75.00% (18 reports)
Stage 4: 8.33% (2 reports)</x:v>
      </x:c>
      <x:c r="G19" s="7" t="str">
        <x:v>Easy ≤1 days: 58.33% (14 reports)
Medium (1,7] days: 4.17% (1 reports)
Hard (7,30] days: 12.50% (3 reports)
Very Hard &gt;30 days: 25.00% (6 reports)</x:v>
      </x:c>
      <x:c r="H19" s="8" t="n">
        <x:v>15.710863715277778</x:v>
      </x:c>
      <x:c r="I19" s="8" t="n">
        <x:v>24.68760360086938</x:v>
      </x:c>
      <x:c r="J19" s="8" t="n">
        <x:v>0.7352777777777778</x:v>
      </x:c>
      <x:c r="K19" s="16" t="n">
        <x:v>13</x:v>
      </x:c>
      <x:c r="L19" s="10" t="n">
        <x:v>215.6153846153846</x:v>
      </x:c>
      <x:c r="M19" s="10" t="n">
        <x:v>75</x:v>
      </x:c>
      <x:c r="N19" s="7" t="str">
        <x:v>Platform, path, or process incompatibilities: 24 reports. Resolution times of ≤1 day, (1, 7] days, (7, 30] days, and &gt;30 days account for 58.3%, 4.2%, 12.5%, and 25.0%, respectively. The mean resolution time is 15.71 days, the standard deviation is 24.69 days, and the median is 0.74 days. The mean is substantially above the median, indicating that some long-duration reports raise the mean. Change size is available for 13 reports, with a mean of 215.62 lines and a median of 75 lines; the latter is below the adjusted overall median of 120 lines.</x:v>
      </x:c>
    </x:row>
    <x:row r="20" ht="192" customHeight="1">
      <x:c r="A20" s="3" t="str">
        <x:v>C19</x:v>
      </x:c>
      <x:c r="B20" s="3" t="str">
        <x:v>Extension or API interface incompatibilities</x:v>
      </x:c>
      <x:c r="C20" s="3" t="str">
        <x:v>Extension or API interface incompatibilities</x:v>
      </x:c>
      <x:c r="D20" s="4" t="n">
        <x:v>27</x:v>
      </x:c>
      <x:c r="E20" s="5" t="n">
        <x:f>D20/901</x:f>
        <x:v>0.029966703662597113</x:v>
      </x:c>
      <x:c r="F20" s="6" t="str">
        <x:v>Stage 1: 14.81% (4 reports)
Stage 2: 55.56% (15 reports)
Stage 3: 11.11% (3 reports)
Stage 4: 18.52% (5 reports)</x:v>
      </x:c>
      <x:c r="G20" s="7" t="str">
        <x:v>Easy ≤1 days: 55.56% (15 reports)
Medium (1,7] days: 11.11% (3 reports)
Hard (7,30] days: 14.81% (4 reports)
Very Hard &gt;30 days: 18.52% (5 reports)</x:v>
      </x:c>
      <x:c r="H20" s="8" t="n">
        <x:v>11.410501114540468</x:v>
      </x:c>
      <x:c r="I20" s="8" t="n">
        <x:v>21.02117502145875</x:v>
      </x:c>
      <x:c r="J20" s="8" t="n">
        <x:v>0.78</x:v>
      </x:c>
      <x:c r="K20" s="25" t="n">
        <x:v>17</x:v>
      </x:c>
      <x:c r="L20" s="10" t="n">
        <x:v>499.70588235294116</x:v>
      </x:c>
      <x:c r="M20" s="10" t="n">
        <x:v>61</x:v>
      </x:c>
      <x:c r="N20" s="7" t="str">
        <x:v>Extension or API interface incompatibilities: 27 reports. Resolution times of ≤1 day, (1, 7] days, (7, 30] days, and &gt;30 days account for 55.6%, 11.1%, 14.8%, and 18.5%, respectively. The mean resolution time is 11.41 days, the standard deviation is 21.02 days, and the median is 0.78 days. The mean is substantially above the median, indicating that some long-duration reports raise the mean. Change size is available for 17 reports, with a mean of 499.71 lines and a median of 61 lines; the latter is below the adjusted overall median of 120 lines.</x:v>
      </x:c>
    </x:row>
    <x:row r="21" ht="192" customHeight="1">
      <x:c r="A21" s="3" t="str">
        <x:v>C20</x:v>
      </x:c>
      <x:c r="B21" s="3" t="str">
        <x:v>Insufficient resource control</x:v>
      </x:c>
      <x:c r="C21" s="3" t="str">
        <x:v>Insufficient resource control</x:v>
      </x:c>
      <x:c r="D21" s="4" t="n">
        <x:v>39</x:v>
      </x:c>
      <x:c r="E21" s="5" t="n">
        <x:f>D21/901</x:f>
        <x:v>0.04328523862375139</x:v>
      </x:c>
      <x:c r="F21" s="6" t="str">
        <x:v>Stage 1: 7.69% (3 reports)
Stage 2: 28.21% (11 reports)
Stage 3: 23.08% (9 reports)
Stage 4: 41.03% (16 reports)</x:v>
      </x:c>
      <x:c r="G21" s="7" t="str">
        <x:v>Easy ≤1 days: 48.72% (19 reports)
Medium (1,7] days: 20.51% (8 reports)
Hard (7,30] days: 12.82% (5 reports)
Very Hard &gt;30 days: 17.95% (7 reports)</x:v>
      </x:c>
      <x:c r="H21" s="8" t="n">
        <x:v>14.495673967236467</x:v>
      </x:c>
      <x:c r="I21" s="8" t="n">
        <x:v>26.608695937695273</x:v>
      </x:c>
      <x:c r="J21" s="8" t="n">
        <x:v>1.15</x:v>
      </x:c>
      <x:c r="K21" s="26" t="n">
        <x:v>18</x:v>
      </x:c>
      <x:c r="L21" s="10" t="n">
        <x:v>326.27777777777777</x:v>
      </x:c>
      <x:c r="M21" s="10" t="n">
        <x:v>176.5</x:v>
      </x:c>
      <x:c r="N21" s="7" t="str">
        <x:v>Insufficient resource control: 39 reports. Resolution times of ≤1 day, (1, 7] days, (7, 30] days, and &gt;30 days account for 48.7%, 20.5%, 12.8%, and 17.9%, respectively. The mean resolution time is 14.50 days, the standard deviation is 26.61 days, and the median is 1.15 days. The mean is substantially above the median, indicating that some long-duration reports raise the mean. Change size is available for 18 reports, with a mean of 326.28 lines and a median of 176.5 lines; the latter is above the adjusted overall median of 120 lines.</x:v>
      </x:c>
    </x:row>
    <x:row r="22" ht="192" customHeight="1">
      <x:c r="A22" s="3" t="str">
        <x:v>C21</x:v>
      </x:c>
      <x:c r="B22" s="3" t="str">
        <x:v>Incomplete distribution or update protections</x:v>
      </x:c>
      <x:c r="C22" s="3" t="str">
        <x:v>Incomplete distribution or update protections</x:v>
      </x:c>
      <x:c r="D22" s="4" t="n">
        <x:v>20</x:v>
      </x:c>
      <x:c r="E22" s="5" t="n">
        <x:f>D22/901</x:f>
        <x:v>0.022197558268590455</x:v>
      </x:c>
      <x:c r="F22" s="6" t="str">
        <x:v>Stage 1: 10.00% (2 reports)
Stage 2: 55.00% (11 reports)
Stage 3: 35.00% (7 reports)
Stage 4: 0.00% (0 reports)</x:v>
      </x:c>
      <x:c r="G22" s="7" t="str">
        <x:v>Easy ≤1 days: 40.00% (8 reports)
Medium (1,7] days: 20.00% (4 reports)
Hard (7,30] days: 10.00% (2 reports)
Very Hard &gt;30 days: 30.00% (6 reports)</x:v>
      </x:c>
      <x:c r="H22" s="8" t="n">
        <x:v>14.370505208333332</x:v>
      </x:c>
      <x:c r="I22" s="8" t="n">
        <x:v>18.82462770182841</x:v>
      </x:c>
      <x:c r="J22" s="8" t="n">
        <x:v>3.1325694444444445</x:v>
      </x:c>
      <x:c r="K22" s="27" t="n">
        <x:v>20</x:v>
      </x:c>
      <x:c r="L22" s="10" t="n">
        <x:v>295.9</x:v>
      </x:c>
      <x:c r="M22" s="10" t="n">
        <x:v>156.5</x:v>
      </x:c>
      <x:c r="N22" s="7" t="str">
        <x:v>Incomplete distribution or update protections: 20 reports. Resolution times of ≤1 day, (1, 7] days, (7, 30] days, and &gt;30 days account for 40.0%, 20.0%, 10.0%, and 30.0%, respectively. The mean resolution time is 14.37 days, the standard deviation is 18.82 days, and the median is 3.13 days. The mean is substantially above the median, indicating that some long-duration reports raise the mean. Change size is available for 20 reports, with a mean of 295.90 lines and a median of 156.5 lines; the latter is above the adjusted overall median of 120 lines.</x:v>
      </x:c>
    </x:row>
    <x:row r="23" ht="192" customHeight="1">
      <x:c r="A23" s="3" t="str">
        <x:v>C22</x:v>
      </x:c>
      <x:c r="B23" s="3" t="str">
        <x:v>Model interpretation or generation errors</x:v>
      </x:c>
      <x:c r="C23" s="3" t="str">
        <x:v>Model interpretation or generation errors</x:v>
      </x:c>
      <x:c r="D23" s="4" t="n">
        <x:v>26</x:v>
      </x:c>
      <x:c r="E23" s="5" t="n">
        <x:f>D23/901</x:f>
        <x:v>0.02885682574916759</x:v>
      </x:c>
      <x:c r="F23" s="6" t="str">
        <x:v>Stage 1: 76.92% (20 reports)
Stage 2: 3.85% (1 reports)
Stage 3: 15.38% (4 reports)
Stage 4: 3.85% (1 reports)</x:v>
      </x:c>
      <x:c r="G23" s="7" t="str">
        <x:v>Easy ≤1 days: 61.54% (16 reports)
Medium (1,7] days: 7.69% (2 reports)
Hard (7,30] days: 11.54% (3 reports)
Very Hard &gt;30 days: 19.23% (5 reports)</x:v>
      </x:c>
      <x:c r="H23" s="8" t="n">
        <x:v>12.032366898148148</x:v>
      </x:c>
      <x:c r="I23" s="8" t="n">
        <x:v>18.868537056138173</x:v>
      </x:c>
      <x:c r="J23" s="8" t="n">
        <x:v>0.41105324074074073</x:v>
      </x:c>
      <x:c r="K23" s="28" t="n">
        <x:v>3</x:v>
      </x:c>
      <x:c r="L23" s="10" t="n">
        <x:v>172.33333333333334</x:v>
      </x:c>
      <x:c r="M23" s="10" t="n">
        <x:v>161</x:v>
      </x:c>
      <x:c r="N23" s="7" t="str">
        <x:v>Model interpretation or generation errors: 26 reports. Resolution times of ≤1 day, (1, 7] days, (7, 30] days, and &gt;30 days account for 61.5%, 7.7%, 11.5%, and 19.2%, respectively. The mean resolution time is 12.03 days, the standard deviation is 18.87 days, and the median is 0.41 days. The mean is substantially above the median, indicating that some long-duration reports raise the mean. Change size is available for 3 reports, with a mean of 172.33 lines and a median of 161 lines; the latter is above the adjusted overall median of 120 lines.</x:v>
      </x:c>
    </x:row>
    <x:row r="24" ht="192" customHeight="1">
      <x:c r="A24" s="3" t="str">
        <x:v>C23</x:v>
      </x:c>
      <x:c r="B24" s="3" t="str">
        <x:v>Incorrect operational guidance</x:v>
      </x:c>
      <x:c r="C24" s="3" t="str">
        <x:v>Incorrect operational guidance</x:v>
      </x:c>
      <x:c r="D24" s="4" t="n">
        <x:v>24</x:v>
      </x:c>
      <x:c r="E24" s="5" t="n">
        <x:f>D24/901</x:f>
        <x:v>0.026637069922308545</x:v>
      </x:c>
      <x:c r="F24" s="6" t="str">
        <x:v>Stage 1: 20.83% (5 reports)
Stage 2: 16.67% (4 reports)
Stage 3: 33.33% (8 reports)
Stage 4: 29.17% (7 reports)</x:v>
      </x:c>
      <x:c r="G24" s="7" t="str">
        <x:v>Easy ≤1 days: 50.00% (12 reports)
Medium (1,7] days: 16.67% (4 reports)
Hard (7,30] days: 8.33% (2 reports)
Very Hard &gt;30 days: 25.00% (6 reports)</x:v>
      </x:c>
      <x:c r="H24" s="8" t="n">
        <x:v>14.5615731095679</x:v>
      </x:c>
      <x:c r="I24" s="8" t="n">
        <x:v>23.30253466179203</x:v>
      </x:c>
      <x:c r="J24" s="8" t="n">
        <x:v>1.595</x:v>
      </x:c>
      <x:c r="K24" s="16" t="n">
        <x:v>15</x:v>
      </x:c>
      <x:c r="L24" s="10" t="n">
        <x:v>82.66666666666667</x:v>
      </x:c>
      <x:c r="M24" s="10" t="n">
        <x:v>37</x:v>
      </x:c>
      <x:c r="N24" s="7" t="str">
        <x:v>Incorrect operational guidance: 24 reports. Resolution times of ≤1 day, (1, 7] days, (7, 30] days, and &gt;30 days account for 50.0%, 16.7%, 8.3%, and 25.0%, respectively. The mean resolution time is 14.56 days, the standard deviation is 23.30 days, and the median is 1.59 days. The mean is substantially above the median, indicating that some long-duration reports raise the mean. Change size is available for 15 reports, with a mean of 82.67 lines and a median of 37 lines; the latter is below the adjusted overall median of 120 lines.</x:v>
      </x:c>
    </x:row>
    <x:row r="25" ht="192" customHeight="1">
      <x:c r="A25" s="3" t="str">
        <x:v>C24</x:v>
      </x:c>
      <x:c r="B25" s="3" t="str">
        <x:v>Persistence inconsistencies</x:v>
      </x:c>
      <x:c r="C25" s="3" t="str">
        <x:v>Persistence inconsistencies</x:v>
      </x:c>
      <x:c r="D25" s="4" t="n">
        <x:v>19</x:v>
      </x:c>
      <x:c r="E25" s="5" t="n">
        <x:f>D25/901</x:f>
        <x:v>0.021087680355160933</x:v>
      </x:c>
      <x:c r="F25" s="6" t="str">
        <x:v>Stage 1: 21.05% (4 reports)
Stage 2: 10.53% (2 reports)
Stage 3: 21.05% (4 reports)
Stage 4: 47.37% (9 reports)</x:v>
      </x:c>
      <x:c r="G25" s="7" t="str">
        <x:v>Easy ≤1 days: 26.32% (5 reports)
Medium (1,7] days: 31.58% (6 reports)
Hard (7,30] days: 15.79% (3 reports)
Very Hard &gt;30 days: 26.32% (5 reports)</x:v>
      </x:c>
      <x:c r="H25" s="8" t="n">
        <x:v>19.827841130604288</x:v>
      </x:c>
      <x:c r="I25" s="8" t="n">
        <x:v>28.744059640188</x:v>
      </x:c>
      <x:c r="J25" s="8" t="n">
        <x:v>6.443657407407407</x:v>
      </x:c>
      <x:c r="K25" s="29" t="n">
        <x:v>12</x:v>
      </x:c>
      <x:c r="L25" s="10" t="n">
        <x:v>430</x:v>
      </x:c>
      <x:c r="M25" s="10" t="n">
        <x:v>251.5</x:v>
      </x:c>
      <x:c r="N25" s="7" t="str">
        <x:v>Persistence inconsistencies: 19 reports. Resolution times of ≤1 day, (1, 7] days, (7, 30] days, and &gt;30 days account for 26.3%, 31.6%, 15.8%, and 26.3%, respectively. The mean resolution time is 19.83 days, the standard deviation is 28.74 days, and the median is 6.44 days. The mean is substantially above the median, indicating that some long-duration reports raise the mean. Change size is available for 12 reports, with a mean of 430.00 lines and a median of 251.5 lines; the latter is above the adjusted overall median of 120 lines.</x:v>
      </x:c>
    </x:row>
    <x:row r="26" ht="15" customHeight="1">
      <x:c r="A26"/>
      <x:c r="B26"/>
      <x:c r="C26"/>
      <x:c r="D26" s="30" t="n">
        <x:f>SUM(D2:D25)</x:f>
        <x:v>901</x:v>
      </x:c>
      <x:c r="E26" s="30" t="n">
        <x:f>SUM(E2:E25)</x:f>
        <x:v>1</x:v>
      </x:c>
      <x:c r="F26"/>
      <x:c r="G26"/>
      <x:c r="H26"/>
      <x:c r="I26"/>
      <x:c r="J26"/>
      <x:c r="K26"/>
      <x:c r="L26"/>
      <x:c r="M26"/>
      <x:c r="N26"/>
    </x:row>
    <x:row r="27" ht="15" customHeight="1"/>
    <x:row r="28" ht="15" customHeight="1"/>
    <x:row r="29" ht="15" customHeight="1"/>
    <x:row r="30" ht="15" customHeight="1"/>
    <x:row r="31" ht="15" customHeight="1"/>
    <x:row r="32" ht="15" customHeight="1"/>
    <x:row r="33" ht="15" customHeight="1"/>
    <x:row r="34" ht="15" customHeight="1"/>
    <x:row r="35" ht="15" customHeight="1"/>
    <x:row r="36" ht="15" customHeight="1"/>
    <x:row r="37" ht="15" customHeight="1"/>
    <x:row r="38" ht="15" customHeight="1"/>
    <x:row r="39" ht="15" customHeight="1"/>
    <x:row r="40" ht="15" customHeight="1"/>
    <x:row r="41" ht="15" customHeight="1"/>
    <x:row r="42" ht="15" customHeight="1"/>
    <x:row r="43" ht="15" customHeight="1"/>
    <x:row r="44" ht="15" customHeight="1"/>
    <x:row r="45" ht="15" customHeight="1"/>
    <x:row r="46" ht="15" customHeight="1"/>
    <x:row r="47" ht="15" customHeight="1"/>
    <x:row r="48" ht="15" customHeight="1"/>
    <x:row r="49" ht="15" customHeight="1"/>
    <x:row r="50" ht="15" customHeight="1"/>
    <x:row r="51" ht="15" customHeight="1"/>
    <x:row r="52" ht="15" customHeight="1"/>
    <x:row r="53" ht="15" customHeight="1"/>
    <x:row r="54" ht="15" customHeight="1"/>
    <x:row r="55" ht="15" customHeight="1"/>
    <x:row r="56" ht="15" customHeight="1"/>
    <x:row r="57" ht="15" customHeight="1"/>
    <x:row r="58" ht="15" customHeight="1"/>
    <x:row r="59" ht="15" customHeight="1"/>
    <x:row r="60" ht="15" customHeight="1"/>
    <x:row r="61" ht="15" customHeight="1"/>
    <x:row r="62" ht="15" customHeight="1"/>
    <x:row r="63" ht="15" customHeight="1"/>
    <x:row r="64" ht="15" customHeight="1"/>
    <x:row r="65" ht="15" customHeight="1"/>
    <x:row r="66" ht="15" customHeight="1"/>
    <x:row r="67" ht="15" customHeight="1"/>
    <x:row r="68" ht="15" customHeight="1"/>
    <x:row r="69" ht="15" customHeight="1"/>
    <x:row r="70" ht="15" customHeight="1"/>
    <x:row r="71" ht="15" customHeight="1"/>
    <x:row r="72" ht="15" customHeight="1"/>
    <x:row r="73" ht="15" customHeight="1"/>
    <x:row r="74" ht="15" customHeight="1"/>
    <x:row r="75" ht="15" customHeight="1"/>
    <x:row r="76" ht="15" customHeight="1"/>
    <x:row r="77" ht="15" customHeight="1"/>
    <x:row r="78" ht="15" customHeight="1"/>
    <x:row r="79" ht="15" customHeight="1"/>
    <x:row r="80" ht="15" customHeight="1"/>
    <x:row r="81" ht="15" customHeight="1"/>
    <x:row r="82" ht="15" customHeight="1"/>
    <x:row r="83" ht="15" customHeight="1"/>
    <x:row r="84" ht="15" customHeight="1"/>
    <x:row r="85" ht="15" customHeight="1"/>
    <x:row r="86" ht="15" customHeight="1"/>
    <x:row r="87" ht="15" customHeight="1"/>
    <x:row r="88" ht="15" customHeight="1"/>
    <x:row r="89" ht="15" customHeight="1"/>
    <x:row r="90" ht="15" customHeight="1"/>
    <x:row r="91" ht="15" customHeight="1"/>
    <x:row r="92" ht="15" customHeight="1"/>
    <x:row r="93" ht="15" customHeight="1"/>
    <x:row r="94" ht="15" customHeight="1"/>
    <x:row r="95" ht="15" customHeight="1"/>
    <x:row r="96" ht="15" customHeight="1"/>
    <x:row r="97" ht="15" customHeight="1"/>
    <x:row r="98" ht="15" customHeight="1"/>
    <x:row r="99" ht="15" customHeight="1"/>
    <x:row r="100" ht="15" customHeight="1"/>
  </x:sheetData>
  <x:pageMargins left="0.7" right="0.7" top="0.75" bottom="0.75" header="0.3" footer="0.3"/>
  <x:tableParts count="1">
    <x:tablePart xmlns:r="http://schemas.openxmlformats.org/officeDocument/2006/relationships" r:id="R34d37021ab6447aa"/>
  </x:tableParts>
</x:worksheet>
</file>