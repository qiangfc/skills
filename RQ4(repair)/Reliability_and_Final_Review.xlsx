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403d696f6e4386" /></Relationships>
</file>

<file path=xl/workbook.xml><?xml version="1.0" encoding="utf-8"?>
<x:workbook xmlns:x="http://schemas.openxmlformats.org/spreadsheetml/2006/main">
  <x:sheets>
    <x:sheet xmlns:r="http://schemas.openxmlformats.org/officeDocument/2006/relationships" name="Overall Reliability" sheetId="1" r:id="R9b48514c02dd432c"/>
    <x:sheet xmlns:r="http://schemas.openxmlformats.org/officeDocument/2006/relationships" name="Confusion Matrix" sheetId="2" r:id="R8778f4979e8d41c7"/>
    <x:sheet xmlns:r="http://schemas.openxmlformats.org/officeDocument/2006/relationships" name="Statuses and Missing Input" sheetId="3" r:id="R4bbf1de23cf041e0"/>
    <x:sheet xmlns:r="http://schemas.openxmlformats.org/officeDocument/2006/relationships" name="Reliability by Repository" sheetId="4" r:id="Re0eff8eb68124f7f"/>
    <x:sheet xmlns:r="http://schemas.openxmlformats.org/officeDocument/2006/relationships" name="Pre-discussion Label Comparison" sheetId="5" r:id="R824ded26f3094017"/>
    <x:sheet xmlns:r="http://schemas.openxmlformats.org/officeDocument/2006/relationships" name="Final Review 481" sheetId="6" r:id="R0059b97b1078487d"/>
    <x:sheet xmlns:r="http://schemas.openxmlformats.org/officeDocument/2006/relationships" name="Disagreements and Added Matches" sheetId="7" r:id="R09d7d90b440d4fe1"/>
    <x:sheet xmlns:r="http://schemas.openxmlformats.org/officeDocument/2006/relationships" name="Root Cause Strategy Counts" sheetId="8" r:id="Rf3ae10ae0ec94dca"/>
    <x:sheet xmlns:r="http://schemas.openxmlformats.org/officeDocument/2006/relationships" name="Strategy Statistics" sheetId="9" r:id="R89f6bb6be5104029"/>
    <x:sheet xmlns:r="http://schemas.openxmlformats.org/officeDocument/2006/relationships" name="Methods and Version" sheetId="10" r:id="R230adba4c1d046f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
  </x:numFmts>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e3df7a36824cda" /><Relationship Type="http://schemas.openxmlformats.org/officeDocument/2006/relationships/theme" Target="/xl/theme/theme1.xml" Id="Rfd0c10e7ef394eea" /><Relationship Type="http://schemas.openxmlformats.org/officeDocument/2006/relationships/sharedStrings" Target="/xl/sharedStrings.xml" Id="R63c127afe3c84a23" /><Relationship Type="http://schemas.openxmlformats.org/officeDocument/2006/relationships/worksheet" Target="/xl/worksheets/sheet1.xml" Id="R9b48514c02dd432c" /><Relationship Type="http://schemas.openxmlformats.org/officeDocument/2006/relationships/worksheet" Target="/xl/worksheets/sheet2.xml" Id="R8778f4979e8d41c7" /><Relationship Type="http://schemas.openxmlformats.org/officeDocument/2006/relationships/worksheet" Target="/xl/worksheets/sheet3.xml" Id="R4bbf1de23cf041e0" /><Relationship Type="http://schemas.openxmlformats.org/officeDocument/2006/relationships/worksheet" Target="/xl/worksheets/sheet4.xml" Id="Re0eff8eb68124f7f" /><Relationship Type="http://schemas.openxmlformats.org/officeDocument/2006/relationships/worksheet" Target="/xl/worksheets/sheet5.xml" Id="R824ded26f3094017" /><Relationship Type="http://schemas.openxmlformats.org/officeDocument/2006/relationships/worksheet" Target="/xl/worksheets/sheet6.xml" Id="R0059b97b1078487d" /><Relationship Type="http://schemas.openxmlformats.org/officeDocument/2006/relationships/worksheet" Target="/xl/worksheets/sheet7.xml" Id="R09d7d90b440d4fe1" /><Relationship Type="http://schemas.openxmlformats.org/officeDocument/2006/relationships/worksheet" Target="/xl/worksheets/sheet8.xml" Id="Rf3ae10ae0ec94dca" /><Relationship Type="http://schemas.openxmlformats.org/officeDocument/2006/relationships/worksheet" Target="/xl/worksheets/sheet9.xml" Id="R89f6bb6be5104029" /><Relationship Type="http://schemas.openxmlformats.org/officeDocument/2006/relationships/worksheet" Target="/xl/worksheets/sheet10.xml" Id="R230adba4c1d046f3" /></Relationships>
</file>

<file path=xl/tables/table1.xml><?xml version="1.0" encoding="utf-8"?>
<x:table xmlns:x="http://schemas.openxmlformats.org/spreadsheetml/2006/main" id="1" name="Data1" displayName="Data1" ref="A1:H2" headerRowCount="1" totalsRowCount="0" totalsRowShown="0">
  <x:tableColumns count="8">
    <x:tableColumn id="1" name="Field"/>
    <x:tableColumn id="2" name="Valid paired count"/>
    <x:tableColumn id="3" name="Agreements"/>
    <x:tableColumn id="4" name="Observed agreement p_o"/>
    <x:tableColumn id="5" name="Chance agreement p_e"/>
    <x:tableColumn id="6" name="Unweighted Kappa"/>
    <x:tableColumn id="7" name="Disagreement rate"/>
    <x:tableColumn id="8" name="Statistical scope"/>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I8" headerRowCount="1" totalsRowCount="0" totalsRowShown="0">
  <x:tableColumns count="9">
    <x:tableColumn id="1" name="Round A / Round B"/>
    <x:tableColumn id="2" name="F01"/>
    <x:tableColumn id="3" name="F02"/>
    <x:tableColumn id="4" name="F03"/>
    <x:tableColumn id="5" name="F04"/>
    <x:tableColumn id="6" name="U1"/>
    <x:tableColumn id="7" name="U2"/>
    <x:tableColumn id="8" name="Round A marginal total"/>
    <x:tableColumn id="9" name="Contribution to p_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E15" headerRowCount="1" totalsRowCount="0" totalsRowShown="0">
  <x:tableColumns count="5">
    <x:tableColumn id="1" name="Task"/>
    <x:tableColumn id="2" name="Value"/>
    <x:tableColumn id="3" name="Name"/>
    <x:tableColumn id="4" name="Count"/>
    <x:tableColumn id="5" name="Percentage of 236 reports"/>
  </x:tableColumns>
  <x:tableStyleInfo name="TableStyleLight8" showFirstColumn="0" showLastColumn="0" showRowStripes="1" showColumnStripes="0"/>
</x:table>
</file>

<file path=xl/tables/table4.xml><?xml version="1.0" encoding="utf-8"?>
<x:table xmlns:x="http://schemas.openxmlformats.org/spreadsheetml/2006/main" id="4" name="Data4" displayName="Data4" ref="A1:H6" headerRowCount="1" totalsRowCount="0" totalsRowShown="0">
  <x:tableColumns count="8">
    <x:tableColumn id="1" name="Repository"/>
    <x:tableColumn id="2" name="Valid pairs"/>
    <x:tableColumn id="3" name="Agreements"/>
    <x:tableColumn id="4" name="p_o"/>
    <x:tableColumn id="5" name="p_e"/>
    <x:tableColumn id="6" name="Kappa"/>
    <x:tableColumn id="7" name="Round A missing"/>
    <x:tableColumn id="8" name="Round B missing"/>
  </x:tableColumns>
  <x:tableStyleInfo name="TableStyleLight8" showFirstColumn="0" showLastColumn="0" showRowStripes="1" showColumnStripes="0"/>
</x:table>
</file>

<file path=xl/tables/table5.xml><?xml version="1.0" encoding="utf-8"?>
<x:table xmlns:x="http://schemas.openxmlformats.org/spreadsheetml/2006/main" id="5" name="Data5" displayName="Data5" ref="A1:G237" headerRowCount="1" totalsRowCount="0" totalsRowShown="0">
  <x:tableColumns count="7">
    <x:tableColumn id="1" name="Record ID"/>
    <x:tableColumn id="2" name="Repository"/>
    <x:tableColumn id="3" name="Issue"/>
    <x:tableColumn id="4" name="Root-cause ID"/>
    <x:tableColumn id="5" name="Round A original label"/>
    <x:tableColumn id="6" name="Round B original label"/>
    <x:tableColumn id="7" name="Agreement"/>
  </x:tableColumns>
  <x:tableStyleInfo name="TableStyleLight8" showFirstColumn="0" showLastColumn="0" showRowStripes="1" showColumnStripes="0"/>
</x:table>
</file>

<file path=xl/tables/table6.xml><?xml version="1.0" encoding="utf-8"?>
<x:table xmlns:x="http://schemas.openxmlformats.org/spreadsheetml/2006/main" id="6" name="Data6" displayName="Data6" ref="A1:O482" headerRowCount="1" totalsRowCount="0" totalsRowShown="0">
  <x:tableColumns count="15">
    <x:tableColumn id="1" name="Record ID"/>
    <x:tableColumn id="2" name="Repository"/>
    <x:tableColumn id="3" name="Issue"/>
    <x:tableColumn id="4" name="Root-cause ID"/>
    <x:tableColumn id="5" name="Round A original label"/>
    <x:tableColumn id="6" name="Round B original label"/>
    <x:tableColumn id="7" name="Single final label"/>
    <x:tableColumn id="8" name="Repair strategy"/>
    <x:tableColumn id="9" name="Implementation status"/>
    <x:tableColumn id="10" name="Implemented or proposed repair action"/>
    <x:tableColumn id="11" name="Assignment rationale"/>
    <x:tableColumn id="12" name="Final review record"/>
    <x:tableColumn id="13" name="URL"/>
    <x:tableColumn id="14" name="Evidence-review label"/>
    <x:tableColumn id="15" name="Assignment type"/>
  </x:tableColumns>
  <x:tableStyleInfo name="TableStyleLight8" showFirstColumn="0" showLastColumn="0" showRowStripes="1" showColumnStripes="0"/>
</x:table>
</file>

<file path=xl/tables/table7.xml><?xml version="1.0" encoding="utf-8"?>
<x:table xmlns:x="http://schemas.openxmlformats.org/spreadsheetml/2006/main" id="7" name="Data7" displayName="Data7" ref="A1:O96" headerRowCount="1" totalsRowCount="0" totalsRowShown="0">
  <x:tableColumns count="15">
    <x:tableColumn id="1" name="Record ID"/>
    <x:tableColumn id="2" name="Repository"/>
    <x:tableColumn id="3" name="Issue"/>
    <x:tableColumn id="4" name="Root-cause ID"/>
    <x:tableColumn id="5" name="Round A original label"/>
    <x:tableColumn id="6" name="Round B original label"/>
    <x:tableColumn id="7" name="Single final label"/>
    <x:tableColumn id="8" name="Repair strategy"/>
    <x:tableColumn id="9" name="Implementation status"/>
    <x:tableColumn id="10" name="Implemented or proposed repair action"/>
    <x:tableColumn id="11" name="Assignment rationale"/>
    <x:tableColumn id="12" name="Final review record"/>
    <x:tableColumn id="13" name="URL"/>
    <x:tableColumn id="14" name="Evidence-review label"/>
    <x:tableColumn id="15" name="Assignment type"/>
  </x:tableColumns>
  <x:tableStyleInfo name="TableStyleLight8" showFirstColumn="0" showLastColumn="0" showRowStripes="1" showColumnStripes="0"/>
</x:table>
</file>

<file path=xl/tables/table8.xml><?xml version="1.0" encoding="utf-8"?>
<x:table xmlns:x="http://schemas.openxmlformats.org/spreadsheetml/2006/main" id="8" name="Data8" displayName="Data8" ref="A1:L25" headerRowCount="1" totalsRowCount="0" totalsRowShown="0">
  <x:tableColumns count="12">
    <x:tableColumn id="1" name="Root-cause ID"/>
    <x:tableColumn id="2" name="Existing root cause"/>
    <x:tableColumn id="3" name="Full sample (901)"/>
    <x:tableColumn id="4" name="Selected sample (481)"/>
    <x:tableColumn id="5" name="Determinate from available evidence"/>
    <x:tableColumn id="6" name="Closest-fit assignment"/>
    <x:tableColumn id="7" name="F01"/>
    <x:tableColumn id="8" name="F02"/>
    <x:tableColumn id="9" name="F03"/>
    <x:tableColumn id="10" name="F04"/>
    <x:tableColumn id="11" name="Implemented and evidence-determinate"/>
    <x:tableColumn id="12" name="Single primary strategy"/>
  </x:tableColumns>
  <x:tableStyleInfo name="TableStyleLight8" showFirstColumn="0" showLastColumn="0" showRowStripes="1" showColumnStripes="0"/>
</x:table>
</file>

<file path=xl/tables/table9.xml><?xml version="1.0" encoding="utf-8"?>
<x:table xmlns:x="http://schemas.openxmlformats.org/spreadsheetml/2006/main" id="9" name="Data9" displayName="Data9" ref="A1:K5" headerRowCount="1" totalsRowCount="0" totalsRowShown="0">
  <x:tableColumns count="11">
    <x:tableColumn id="1" name="Strategy ID"/>
    <x:tableColumn id="2" name="Strategy name"/>
    <x:tableColumn id="3" name="Final assignment count"/>
    <x:tableColumn id="4" name="Percentage of 481 reports"/>
    <x:tableColumn id="5" name="Evidence-determinate count"/>
    <x:tableColumn id="6" name="Closest-fit assignment count"/>
    <x:tableColumn id="7" name="Implemented targeted-repair count"/>
    <x:tableColumn id="8" name="Root-cause categories covered by assignments"/>
    <x:tableColumn id="9" name="Root-cause categories covered by evidence"/>
    <x:tableColumn id="10" name="Root-cause IDs covered"/>
    <x:tableColumn id="11" name="Prevalence"/>
  </x:tableColumns>
  <x:tableStyleInfo name="TableStyleLight8" showFirstColumn="0" showLastColumn="0" showRowStripes="1" showColumnStripes="0"/>
</x:table>
</file>

<file path=xl/tables/table10.xml><?xml version="1.0" encoding="utf-8"?>
<x:table xmlns:x="http://schemas.openxmlformats.org/spreadsheetml/2006/main" id="10" name="Data10" displayName="Data10" ref="A1:B21"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0d9097e5c84037" /></Relationships>
</file>

<file path=xl/worksheets/_rels/sheet2.xml.rels>&#65279;<?xml version="1.0" encoding="utf-8"?><Relationships xmlns="http://schemas.openxmlformats.org/package/2006/relationships"><Relationship Type="http://schemas.openxmlformats.org/officeDocument/2006/relationships/table" Target="/xl/tables/table2.xml" Id="R6e5080ef89b04958" /></Relationships>
</file>

<file path=xl/worksheets/_rels/sheet3.xml.rels>&#65279;<?xml version="1.0" encoding="utf-8"?><Relationships xmlns="http://schemas.openxmlformats.org/package/2006/relationships"><Relationship Type="http://schemas.openxmlformats.org/officeDocument/2006/relationships/table" Target="/xl/tables/table3.xml" Id="R823170aa648f4fba" /></Relationships>
</file>

<file path=xl/worksheets/_rels/sheet4.xml.rels>&#65279;<?xml version="1.0" encoding="utf-8"?><Relationships xmlns="http://schemas.openxmlformats.org/package/2006/relationships"><Relationship Type="http://schemas.openxmlformats.org/officeDocument/2006/relationships/table" Target="/xl/tables/table4.xml" Id="R89df61fb2b8349a7" /></Relationships>
</file>

<file path=xl/worksheets/_rels/sheet5.xml.rels>&#65279;<?xml version="1.0" encoding="utf-8"?><Relationships xmlns="http://schemas.openxmlformats.org/package/2006/relationships"><Relationship Type="http://schemas.openxmlformats.org/officeDocument/2006/relationships/table" Target="/xl/tables/table5.xml" Id="R9024e8a535db4ccc" /></Relationships>
</file>

<file path=xl/worksheets/_rels/sheet6.xml.rels>&#65279;<?xml version="1.0" encoding="utf-8"?><Relationships xmlns="http://schemas.openxmlformats.org/package/2006/relationships"><Relationship Type="http://schemas.openxmlformats.org/officeDocument/2006/relationships/table" Target="/xl/tables/table6.xml" Id="Rbde23e260e9c45c6" /></Relationships>
</file>

<file path=xl/worksheets/_rels/sheet7.xml.rels>&#65279;<?xml version="1.0" encoding="utf-8"?><Relationships xmlns="http://schemas.openxmlformats.org/package/2006/relationships"><Relationship Type="http://schemas.openxmlformats.org/officeDocument/2006/relationships/table" Target="/xl/tables/table7.xml" Id="R6dc7e95d65b9437e" /></Relationships>
</file>

<file path=xl/worksheets/_rels/sheet8.xml.rels>&#65279;<?xml version="1.0" encoding="utf-8"?><Relationships xmlns="http://schemas.openxmlformats.org/package/2006/relationships"><Relationship Type="http://schemas.openxmlformats.org/officeDocument/2006/relationships/table" Target="/xl/tables/table8.xml" Id="Rbef9db4028fd46d0" /></Relationships>
</file>

<file path=xl/worksheets/_rels/sheet9.xml.rels>&#65279;<?xml version="1.0" encoding="utf-8"?><Relationships xmlns="http://schemas.openxmlformats.org/package/2006/relationships"><Relationship Type="http://schemas.openxmlformats.org/officeDocument/2006/relationships/table" Target="/xl/tables/table9.xml" Id="R1f9416f24b2d47ed" /></Relationships>
</file>

<file path=xl/worksheets/_rels/sheet10.xml.rels>&#65279;<?xml version="1.0" encoding="utf-8"?><Relationships xmlns="http://schemas.openxmlformats.org/package/2006/relationships"><Relationship Type="http://schemas.openxmlformats.org/officeDocument/2006/relationships/table" Target="/xl/tables/table10.xml" Id="Rf8e8ee1b3cd84e9e"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6" hidden="0" customWidth="1"/>
    <x:col min="4" max="4" width="22" hidden="0" customWidth="1"/>
    <x:col min="5" max="5" width="22" hidden="0" customWidth="1"/>
    <x:col min="6" max="6" width="22" hidden="0" customWidth="1"/>
    <x:col min="7" max="7" width="18" hidden="0" customWidth="1"/>
    <x:col min="8" max="8" width="65" hidden="0" customWidth="1"/>
  </x:cols>
  <x:sheetData>
    <x:row r="1" ht="42" customHeight="1">
      <x:c r="A1" s="1" t="str">
        <x:v>Field</x:v>
      </x:c>
      <x:c r="B1" s="1" t="str">
        <x:v>Valid paired count</x:v>
      </x:c>
      <x:c r="C1" s="1" t="str">
        <x:v>Agreements</x:v>
      </x:c>
      <x:c r="D1" s="1" t="str">
        <x:v>Observed agreement p_o</x:v>
      </x:c>
      <x:c r="E1" s="1" t="str">
        <x:v>Chance agreement p_e</x:v>
      </x:c>
      <x:c r="F1" s="1" t="str">
        <x:v>Unweighted Kappa</x:v>
      </x:c>
      <x:c r="G1" s="1" t="str">
        <x:v>Disagreement rate</x:v>
      </x:c>
      <x:c r="H1" s="1" t="str">
        <x:v>Statistical scope</x:v>
      </x:c>
    </x:row>
    <x:row r="2" ht="24" customHeight="1">
      <x:c r="A2" s="2" t="str">
        <x:v>Repair strategy</x:v>
      </x:c>
      <x:c r="B2" s="2" t="n">
        <x:f>'Confusion Matrix'!H8</x:f>
        <x:v>236</x:v>
      </x:c>
      <x:c r="C2" s="2" t="n">
        <x:f>SUM('Pre-discussion Label Comparison'!G2:G237)</x:f>
        <x:v>216</x:v>
      </x:c>
      <x:c r="D2" s="3" t="n">
        <x:f>IF(B2=0,"Not computable",C2/B2)</x:f>
        <x:v>0.9152542372881356</x:v>
      </x:c>
      <x:c r="E2" s="3" t="n">
        <x:f>'Confusion Matrix'!I8</x:f>
        <x:v>0.2359235851766734</x:v>
      </x:c>
      <x:c r="F2" s="4" t="n">
        <x:f>IF(OR(B2=0,E2=1),"Not computable",(D2-E2)/(1-E2))</x:f>
        <x:v>0.8890873202368643</x:v>
      </x:c>
      <x:c r="G2" s="3" t="n">
        <x:f>IF(B2=0,"Not computable",1-D2)</x:f>
        <x:v>0.0847457627118644</x:v>
      </x:c>
      <x:c r="H2" s="2" t="str">
        <x:v>Preserving 236 articles before discussing original matching, excluding U1/U2 and missing</x:v>
      </x:c>
    </x:row>
  </x:sheetData>
  <x:pageMargins left="0.7" right="0.7" top="0.75" bottom="0.75" header="0.3" footer="0.3"/>
  <x:tableParts count="1">
    <x:tablePart xmlns:r="http://schemas.openxmlformats.org/officeDocument/2006/relationships" r:id="R370d9097e5c8403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8" hidden="0" customWidth="1"/>
    <x:col min="9" max="9" width="20" hidden="0" customWidth="1"/>
  </x:cols>
  <x:sheetData>
    <x:row r="1" ht="42" customHeight="1">
      <x:c r="A1" s="1" t="str">
        <x:v>Round A / Round B</x:v>
      </x:c>
      <x:c r="B1" s="1" t="str">
        <x:v>F01</x:v>
      </x:c>
      <x:c r="C1" s="1" t="str">
        <x:v>F02</x:v>
      </x:c>
      <x:c r="D1" s="1" t="str">
        <x:v>F03</x:v>
      </x:c>
      <x:c r="E1" s="1" t="str">
        <x:v>F04</x:v>
      </x:c>
      <x:c r="F1" s="1" t="str">
        <x:v>U1</x:v>
      </x:c>
      <x:c r="G1" s="1" t="str">
        <x:v>U2</x:v>
      </x:c>
      <x:c r="H1" s="1" t="str">
        <x:v>Round A marginal total</x:v>
      </x:c>
      <x:c r="I1" s="1" t="str">
        <x:v>Contribution to p_e</x:v>
      </x:c>
    </x:row>
    <x:row r="2" ht="24" customHeight="1">
      <x:c r="A2" s="2" t="str">
        <x:v>F01</x:v>
      </x:c>
      <x:c r="B2" s="2" t="n">
        <x:f>COUNTIFS('Pre-discussion Label Comparison'!$E$2:$E$237,$A2,'Pre-discussion Label Comparison'!$F$2:$F$237,B$1)</x:f>
        <x:v>63</x:v>
      </x:c>
      <x:c r="C2" s="2" t="n">
        <x:f>COUNTIFS('Pre-discussion Label Comparison'!$E$2:$E$237,$A2,'Pre-discussion Label Comparison'!$F$2:$F$237,C$1)</x:f>
        <x:v>1</x:v>
      </x:c>
      <x:c r="D2" s="2" t="n">
        <x:f>COUNTIFS('Pre-discussion Label Comparison'!$E$2:$E$237,$A2,'Pre-discussion Label Comparison'!$F$2:$F$237,D$1)</x:f>
        <x:v>0</x:v>
      </x:c>
      <x:c r="E2" s="2" t="n">
        <x:f>COUNTIFS('Pre-discussion Label Comparison'!$E$2:$E$237,$A2,'Pre-discussion Label Comparison'!$F$2:$F$237,E$1)</x:f>
        <x:v>0</x:v>
      </x:c>
      <x:c r="F2" s="2" t="n">
        <x:f>COUNTIFS('Pre-discussion Label Comparison'!$E$2:$E$237,$A2,'Pre-discussion Label Comparison'!$F$2:$F$237,F$1)</x:f>
        <x:v>1</x:v>
      </x:c>
      <x:c r="G2" s="2" t="n">
        <x:f>COUNTIFS('Pre-discussion Label Comparison'!$E$2:$E$237,$A2,'Pre-discussion Label Comparison'!$F$2:$F$237,G$1)</x:f>
        <x:v>0</x:v>
      </x:c>
      <x:c r="H2" s="2" t="n">
        <x:f>SUM(B2:G2)</x:f>
        <x:v>65</x:v>
      </x:c>
      <x:c r="I2" s="4" t="n">
        <x:f>IF($H$8=0,"",H2*B$8/($H$8*$H$8))</x:f>
        <x:v>0.08286052858374031</x:v>
      </x:c>
    </x:row>
    <x:row r="3" ht="24" customHeight="1">
      <x:c r="A3" s="2" t="str">
        <x:v>F02</x:v>
      </x:c>
      <x:c r="B3" s="2" t="n">
        <x:f>COUNTIFS('Pre-discussion Label Comparison'!$E$2:$E$237,$A3,'Pre-discussion Label Comparison'!$F$2:$F$237,B$1)</x:f>
        <x:v>4</x:v>
      </x:c>
      <x:c r="C3" s="2" t="n">
        <x:f>COUNTIFS('Pre-discussion Label Comparison'!$E$2:$E$237,$A3,'Pre-discussion Label Comparison'!$F$2:$F$237,C$1)</x:f>
        <x:v>59</x:v>
      </x:c>
      <x:c r="D3" s="2" t="n">
        <x:f>COUNTIFS('Pre-discussion Label Comparison'!$E$2:$E$237,$A3,'Pre-discussion Label Comparison'!$F$2:$F$237,D$1)</x:f>
        <x:v>3</x:v>
      </x:c>
      <x:c r="E3" s="2" t="n">
        <x:f>COUNTIFS('Pre-discussion Label Comparison'!$E$2:$E$237,$A3,'Pre-discussion Label Comparison'!$F$2:$F$237,E$1)</x:f>
        <x:v>1</x:v>
      </x:c>
      <x:c r="F3" s="2" t="n">
        <x:f>COUNTIFS('Pre-discussion Label Comparison'!$E$2:$E$237,$A3,'Pre-discussion Label Comparison'!$F$2:$F$237,F$1)</x:f>
        <x:v>1</x:v>
      </x:c>
      <x:c r="G3" s="2" t="n">
        <x:f>COUNTIFS('Pre-discussion Label Comparison'!$E$2:$E$237,$A3,'Pre-discussion Label Comparison'!$F$2:$F$237,G$1)</x:f>
        <x:v>0</x:v>
      </x:c>
      <x:c r="H3" s="2" t="n">
        <x:f>SUM(B3:G3)</x:f>
        <x:v>68</x:v>
      </x:c>
      <x:c r="I3" s="4" t="n">
        <x:f>IF($H$8=0,"",H3*C$8/($H$8*$H$8))</x:f>
        <x:v>0.07935937948865268</x:v>
      </x:c>
    </x:row>
    <x:row r="4" ht="24" customHeight="1">
      <x:c r="A4" s="2" t="str">
        <x:v>F03</x:v>
      </x:c>
      <x:c r="B4" s="2" t="n">
        <x:f>COUNTIFS('Pre-discussion Label Comparison'!$E$2:$E$237,$A4,'Pre-discussion Label Comparison'!$F$2:$F$237,B$1)</x:f>
        <x:v>2</x:v>
      </x:c>
      <x:c r="C4" s="2" t="n">
        <x:f>COUNTIFS('Pre-discussion Label Comparison'!$E$2:$E$237,$A4,'Pre-discussion Label Comparison'!$F$2:$F$237,C$1)</x:f>
        <x:v>3</x:v>
      </x:c>
      <x:c r="D4" s="2" t="n">
        <x:f>COUNTIFS('Pre-discussion Label Comparison'!$E$2:$E$237,$A4,'Pre-discussion Label Comparison'!$F$2:$F$237,D$1)</x:f>
        <x:v>47</x:v>
      </x:c>
      <x:c r="E4" s="2" t="n">
        <x:f>COUNTIFS('Pre-discussion Label Comparison'!$E$2:$E$237,$A4,'Pre-discussion Label Comparison'!$F$2:$F$237,E$1)</x:f>
        <x:v>0</x:v>
      </x:c>
      <x:c r="F4" s="2" t="n">
        <x:f>COUNTIFS('Pre-discussion Label Comparison'!$E$2:$E$237,$A4,'Pre-discussion Label Comparison'!$F$2:$F$237,F$1)</x:f>
        <x:v>0</x:v>
      </x:c>
      <x:c r="G4" s="2" t="n">
        <x:f>COUNTIFS('Pre-discussion Label Comparison'!$E$2:$E$237,$A4,'Pre-discussion Label Comparison'!$F$2:$F$237,G$1)</x:f>
        <x:v>0</x:v>
      </x:c>
      <x:c r="H4" s="2" t="n">
        <x:f>SUM(B4:G4)</x:f>
        <x:v>52</x:v>
      </x:c>
      <x:c r="I4" s="4" t="n">
        <x:f>IF($H$8=0,"",H4*D$8/($H$8*$H$8))</x:f>
        <x:v>0.04668198793450158</x:v>
      </x:c>
    </x:row>
    <x:row r="5" ht="24" customHeight="1">
      <x:c r="A5" s="2" t="str">
        <x:v>F04</x:v>
      </x:c>
      <x:c r="B5" s="2" t="n">
        <x:f>COUNTIFS('Pre-discussion Label Comparison'!$E$2:$E$237,$A5,'Pre-discussion Label Comparison'!$F$2:$F$237,B$1)</x:f>
        <x:v>0</x:v>
      </x:c>
      <x:c r="C5" s="2" t="n">
        <x:f>COUNTIFS('Pre-discussion Label Comparison'!$E$2:$E$237,$A5,'Pre-discussion Label Comparison'!$F$2:$F$237,C$1)</x:f>
        <x:v>0</x:v>
      </x:c>
      <x:c r="D5" s="2" t="n">
        <x:f>COUNTIFS('Pre-discussion Label Comparison'!$E$2:$E$237,$A5,'Pre-discussion Label Comparison'!$F$2:$F$237,D$1)</x:f>
        <x:v>0</x:v>
      </x:c>
      <x:c r="E5" s="2" t="n">
        <x:f>COUNTIFS('Pre-discussion Label Comparison'!$E$2:$E$237,$A5,'Pre-discussion Label Comparison'!$F$2:$F$237,E$1)</x:f>
        <x:v>14</x:v>
      </x:c>
      <x:c r="F5" s="2" t="n">
        <x:f>COUNTIFS('Pre-discussion Label Comparison'!$E$2:$E$237,$A5,'Pre-discussion Label Comparison'!$F$2:$F$237,F$1)</x:f>
        <x:v>0</x:v>
      </x:c>
      <x:c r="G5" s="2" t="n">
        <x:f>COUNTIFS('Pre-discussion Label Comparison'!$E$2:$E$237,$A5,'Pre-discussion Label Comparison'!$F$2:$F$237,G$1)</x:f>
        <x:v>0</x:v>
      </x:c>
      <x:c r="H5" s="2" t="n">
        <x:f>SUM(B5:G5)</x:f>
        <x:v>14</x:v>
      </x:c>
      <x:c r="I5" s="4" t="n">
        <x:f>IF($H$8=0,"",H5*E$8/($H$8*$H$8))</x:f>
        <x:v>0.0037704682562482044</x:v>
      </x:c>
    </x:row>
    <x:row r="6" ht="24" customHeight="1">
      <x:c r="A6" s="2" t="str">
        <x:v>U1</x:v>
      </x:c>
      <x:c r="B6" s="2" t="n">
        <x:f>COUNTIFS('Pre-discussion Label Comparison'!$E$2:$E$237,$A6,'Pre-discussion Label Comparison'!$F$2:$F$237,B$1)</x:f>
        <x:v>2</x:v>
      </x:c>
      <x:c r="C6" s="2" t="n">
        <x:f>COUNTIFS('Pre-discussion Label Comparison'!$E$2:$E$237,$A6,'Pre-discussion Label Comparison'!$F$2:$F$237,C$1)</x:f>
        <x:v>2</x:v>
      </x:c>
      <x:c r="D6" s="2" t="n">
        <x:f>COUNTIFS('Pre-discussion Label Comparison'!$E$2:$E$237,$A6,'Pre-discussion Label Comparison'!$F$2:$F$237,D$1)</x:f>
        <x:v>0</x:v>
      </x:c>
      <x:c r="E6" s="2" t="n">
        <x:f>COUNTIFS('Pre-discussion Label Comparison'!$E$2:$E$237,$A6,'Pre-discussion Label Comparison'!$F$2:$F$237,E$1)</x:f>
        <x:v>0</x:v>
      </x:c>
      <x:c r="F6" s="2" t="n">
        <x:f>COUNTIFS('Pre-discussion Label Comparison'!$E$2:$E$237,$A6,'Pre-discussion Label Comparison'!$F$2:$F$237,F$1)</x:f>
        <x:v>33</x:v>
      </x:c>
      <x:c r="G6" s="2" t="n">
        <x:f>COUNTIFS('Pre-discussion Label Comparison'!$E$2:$E$237,$A6,'Pre-discussion Label Comparison'!$F$2:$F$237,G$1)</x:f>
        <x:v>0</x:v>
      </x:c>
      <x:c r="H6" s="2" t="n">
        <x:f>SUM(B6:G6)</x:f>
        <x:v>37</x:v>
      </x:c>
      <x:c r="I6" s="4" t="n">
        <x:f>IF($H$8=0,"",H6*F$8/($H$8*$H$8))</x:f>
        <x:v>0.023251220913530594</x:v>
      </x:c>
    </x:row>
    <x:row r="7" ht="24" customHeight="1">
      <x:c r="A7" s="2" t="str">
        <x:v>U2</x:v>
      </x:c>
      <x:c r="B7" s="2" t="n">
        <x:f>COUNTIFS('Pre-discussion Label Comparison'!$E$2:$E$237,$A7,'Pre-discussion Label Comparison'!$F$2:$F$237,B$1)</x:f>
        <x:v>0</x:v>
      </x:c>
      <x:c r="C7" s="2" t="n">
        <x:f>COUNTIFS('Pre-discussion Label Comparison'!$E$2:$E$237,$A7,'Pre-discussion Label Comparison'!$F$2:$F$237,C$1)</x:f>
        <x:v>0</x:v>
      </x:c>
      <x:c r="D7" s="2" t="n">
        <x:f>COUNTIFS('Pre-discussion Label Comparison'!$E$2:$E$237,$A7,'Pre-discussion Label Comparison'!$F$2:$F$237,D$1)</x:f>
        <x:v>0</x:v>
      </x:c>
      <x:c r="E7" s="2" t="n">
        <x:f>COUNTIFS('Pre-discussion Label Comparison'!$E$2:$E$237,$A7,'Pre-discussion Label Comparison'!$F$2:$F$237,E$1)</x:f>
        <x:v>0</x:v>
      </x:c>
      <x:c r="F7" s="2" t="n">
        <x:f>COUNTIFS('Pre-discussion Label Comparison'!$E$2:$E$237,$A7,'Pre-discussion Label Comparison'!$F$2:$F$237,F$1)</x:f>
        <x:v>0</x:v>
      </x:c>
      <x:c r="G7" s="2" t="n">
        <x:f>COUNTIFS('Pre-discussion Label Comparison'!$E$2:$E$237,$A7,'Pre-discussion Label Comparison'!$F$2:$F$237,G$1)</x:f>
        <x:v>0</x:v>
      </x:c>
      <x:c r="H7" s="2" t="n">
        <x:f>SUM(B7:G7)</x:f>
        <x:v>0</x:v>
      </x:c>
      <x:c r="I7" s="4" t="n">
        <x:f>IF($H$8=0,"",H7*G$8/($H$8*$H$8))</x:f>
        <x:v>0</x:v>
      </x:c>
    </x:row>
    <x:row r="8" ht="24" customHeight="1">
      <x:c r="A8" s="2" t="str">
        <x:v>B marginal sum</x:v>
      </x:c>
      <x:c r="B8" s="2" t="n">
        <x:f>SUM(B2:B7)</x:f>
        <x:v>71</x:v>
      </x:c>
      <x:c r="C8" s="2" t="n">
        <x:f>SUM(C2:C7)</x:f>
        <x:v>65</x:v>
      </x:c>
      <x:c r="D8" s="2" t="n">
        <x:f>SUM(D2:D7)</x:f>
        <x:v>50</x:v>
      </x:c>
      <x:c r="E8" s="2" t="n">
        <x:f>SUM(E2:E7)</x:f>
        <x:v>15</x:v>
      </x:c>
      <x:c r="F8" s="2" t="n">
        <x:f>SUM(F2:F7)</x:f>
        <x:v>35</x:v>
      </x:c>
      <x:c r="G8" s="2" t="n">
        <x:f>SUM(G2:G7)</x:f>
        <x:v>0</x:v>
      </x:c>
      <x:c r="H8" s="2" t="n">
        <x:f>SUM(H2:H7)</x:f>
        <x:v>236</x:v>
      </x:c>
      <x:c r="I8" s="4" t="n">
        <x:f>SUM(I2:I7)</x:f>
        <x:v>0.2359235851766734</x:v>
      </x:c>
    </x:row>
  </x:sheetData>
  <x:pageMargins left="0.7" right="0.7" top="0.75" bottom="0.75" header="0.3" footer="0.3"/>
  <x:tableParts count="1">
    <x:tablePart xmlns:r="http://schemas.openxmlformats.org/officeDocument/2006/relationships" r:id="R6e5080ef89b0495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32" hidden="0" customWidth="1"/>
    <x:col min="4" max="4" width="14" hidden="0" customWidth="1"/>
    <x:col min="5" max="5" width="22" hidden="0" customWidth="1"/>
  </x:cols>
  <x:sheetData>
    <x:row r="1" ht="42" customHeight="1">
      <x:c r="A1" s="1" t="str">
        <x:v>Task</x:v>
      </x:c>
      <x:c r="B1" s="1" t="str">
        <x:v>Value</x:v>
      </x:c>
      <x:c r="C1" s="1" t="str">
        <x:v>Name</x:v>
      </x:c>
      <x:c r="D1" s="1" t="str">
        <x:v>Count</x:v>
      </x:c>
      <x:c r="E1" s="1" t="str">
        <x:v>Percentage of 236 reports</x:v>
      </x:c>
    </x:row>
    <x:row r="2" ht="24" customHeight="1">
      <x:c r="A2" s="2" t="str">
        <x:v>A</x:v>
      </x:c>
      <x:c r="B2" s="2" t="str">
        <x:v>F01</x:v>
      </x:c>
      <x:c r="C2" s="2" t="str">
        <x:v>Representation and usage-contract alignment</x:v>
      </x:c>
      <x:c r="D2" s="2" t="n">
        <x:v>65</x:v>
      </x:c>
      <x:c r="E2" s="3" t="n">
        <x:v>0.2754237288135593</x:v>
      </x:c>
    </x:row>
    <x:row r="3" ht="24" customHeight="1">
      <x:c r="A3" s="2" t="str">
        <x:v>A</x:v>
      </x:c>
      <x:c r="B3" s="2" t="str">
        <x:v>F02</x:v>
      </x:c>
      <x:c r="C3" s="2" t="str">
        <x:v>Execution-flow and state correction</x:v>
      </x:c>
      <x:c r="D3" s="2" t="n">
        <x:v>68</x:v>
      </x:c>
      <x:c r="E3" s="3" t="n">
        <x:v>0.288135593220339</x:v>
      </x:c>
    </x:row>
    <x:row r="4" ht="35" customHeight="1">
      <x:c r="A4" s="2" t="str">
        <x:v>A</x:v>
      </x:c>
      <x:c r="B4" s="2" t="str">
        <x:v>F03</x:v>
      </x:c>
      <x:c r="C4" s="2" t="str">
        <x:v>Validation and failure-path hardening</x:v>
      </x:c>
      <x:c r="D4" s="2" t="n">
        <x:v>52</x:v>
      </x:c>
      <x:c r="E4" s="3" t="n">
        <x:v>0.22033898305084745</x:v>
      </x:c>
    </x:row>
    <x:row r="5" ht="35" customHeight="1">
      <x:c r="A5" s="2" t="str">
        <x:v>A</x:v>
      </x:c>
      <x:c r="B5" s="2" t="str">
        <x:v>F04</x:v>
      </x:c>
      <x:c r="C5" s="2" t="str">
        <x:v>Environment and distribution adaptation</x:v>
      </x:c>
      <x:c r="D5" s="2" t="n">
        <x:v>14</x:v>
      </x:c>
      <x:c r="E5" s="3" t="n">
        <x:v>0.059322033898305086</x:v>
      </x:c>
    </x:row>
    <x:row r="6" ht="35" customHeight="1">
      <x:c r="A6" s="2" t="str">
        <x:v>A</x:v>
      </x:c>
      <x:c r="B6" s="2" t="str">
        <x:v>U1</x:v>
      </x:c>
      <x:c r="C6" s="2" t="str">
        <x:v>Undetermined: insufficient evidence</x:v>
      </x:c>
      <x:c r="D6" s="2" t="n">
        <x:v>37</x:v>
      </x:c>
      <x:c r="E6" s="3" t="n">
        <x:v>0.15677966101694915</x:v>
      </x:c>
    </x:row>
    <x:row r="7" ht="24" customHeight="1">
      <x:c r="A7" s="2" t="str">
        <x:v>A</x:v>
      </x:c>
      <x:c r="B7" s="2" t="str">
        <x:v>U2</x:v>
      </x:c>
      <x:c r="C7" s="2" t="str">
        <x:v>undetermined and codebook not covered</x:v>
      </x:c>
      <x:c r="D7" s="2" t="n">
        <x:v>0</x:v>
      </x:c>
      <x:c r="E7" s="3" t="n">
        <x:v>0</x:v>
      </x:c>
    </x:row>
    <x:row r="8" ht="24" customHeight="1">
      <x:c r="A8" s="2" t="str">
        <x:v>A</x:v>
      </x:c>
      <x:c r="B8" s="2" t="str">
        <x:v>missing</x:v>
      </x:c>
      <x:c r="C8" s="2" t="str">
        <x:v>No real input</x:v>
      </x:c>
      <x:c r="D8" s="2" t="n">
        <x:v>0</x:v>
      </x:c>
      <x:c r="E8" s="3" t="n">
        <x:v>0</x:v>
      </x:c>
    </x:row>
    <x:row r="9" ht="24" customHeight="1">
      <x:c r="A9" s="2" t="str">
        <x:v>B</x:v>
      </x:c>
      <x:c r="B9" s="2" t="str">
        <x:v>F01</x:v>
      </x:c>
      <x:c r="C9" s="2" t="str">
        <x:v>Representation and usage-contract alignment</x:v>
      </x:c>
      <x:c r="D9" s="2" t="n">
        <x:v>71</x:v>
      </x:c>
      <x:c r="E9" s="3" t="n">
        <x:v>0.3008474576271186</x:v>
      </x:c>
    </x:row>
    <x:row r="10" ht="24" customHeight="1">
      <x:c r="A10" s="2" t="str">
        <x:v>B</x:v>
      </x:c>
      <x:c r="B10" s="2" t="str">
        <x:v>F02</x:v>
      </x:c>
      <x:c r="C10" s="2" t="str">
        <x:v>Execution-flow and state correction</x:v>
      </x:c>
      <x:c r="D10" s="2" t="n">
        <x:v>65</x:v>
      </x:c>
      <x:c r="E10" s="3" t="n">
        <x:v>0.2754237288135593</x:v>
      </x:c>
    </x:row>
    <x:row r="11" ht="24" customHeight="1">
      <x:c r="A11" s="2" t="str">
        <x:v>B</x:v>
      </x:c>
      <x:c r="B11" s="2" t="str">
        <x:v>F03</x:v>
      </x:c>
      <x:c r="C11" s="2" t="str">
        <x:v>Validation and failure-path hardening</x:v>
      </x:c>
      <x:c r="D11" s="2" t="n">
        <x:v>50</x:v>
      </x:c>
      <x:c r="E11" s="3" t="n">
        <x:v>0.211864406779661</x:v>
      </x:c>
    </x:row>
    <x:row r="12" ht="24" customHeight="1">
      <x:c r="A12" s="2" t="str">
        <x:v>B</x:v>
      </x:c>
      <x:c r="B12" s="2" t="str">
        <x:v>F04</x:v>
      </x:c>
      <x:c r="C12" s="2" t="str">
        <x:v>Environment and distribution adaptation</x:v>
      </x:c>
      <x:c r="D12" s="2" t="n">
        <x:v>15</x:v>
      </x:c>
      <x:c r="E12" s="3" t="n">
        <x:v>0.0635593220338983</x:v>
      </x:c>
    </x:row>
    <x:row r="13" ht="24" customHeight="1">
      <x:c r="A13" s="2" t="str">
        <x:v>B</x:v>
      </x:c>
      <x:c r="B13" s="2" t="str">
        <x:v>U1</x:v>
      </x:c>
      <x:c r="C13" s="2" t="str">
        <x:v>Undetermined: insufficient evidence</x:v>
      </x:c>
      <x:c r="D13" s="2" t="n">
        <x:v>35</x:v>
      </x:c>
      <x:c r="E13" s="3" t="n">
        <x:v>0.1483050847457627</x:v>
      </x:c>
    </x:row>
    <x:row r="14" ht="24" customHeight="1">
      <x:c r="A14" s="2" t="str">
        <x:v>B</x:v>
      </x:c>
      <x:c r="B14" s="2" t="str">
        <x:v>U2</x:v>
      </x:c>
      <x:c r="C14" s="2" t="str">
        <x:v>undetermined and codebook not covered</x:v>
      </x:c>
      <x:c r="D14" s="2" t="n">
        <x:v>0</x:v>
      </x:c>
      <x:c r="E14" s="3" t="n">
        <x:v>0</x:v>
      </x:c>
    </x:row>
    <x:row r="15" ht="24" customHeight="1">
      <x:c r="A15" s="2" t="str">
        <x:v>B</x:v>
      </x:c>
      <x:c r="B15" s="2" t="str">
        <x:v>missing</x:v>
      </x:c>
      <x:c r="C15" s="2" t="str">
        <x:v>No real input</x:v>
      </x:c>
      <x:c r="D15" s="2" t="n">
        <x:v>0</x:v>
      </x:c>
      <x:c r="E15" s="3" t="n">
        <x:v>0</x:v>
      </x:c>
    </x:row>
  </x:sheetData>
  <x:pageMargins left="0.7" right="0.7" top="0.75" bottom="0.75" header="0.3" footer="0.3"/>
  <x:tableParts count="1">
    <x:tablePart xmlns:r="http://schemas.openxmlformats.org/officeDocument/2006/relationships" r:id="R823170aa648f4f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3" max="3" width="16" hidden="0" customWidth="1"/>
    <x:col min="4" max="4" width="18" hidden="0" customWidth="1"/>
    <x:col min="5" max="5" width="18" hidden="0" customWidth="1"/>
    <x:col min="6" max="6" width="18" hidden="0" customWidth="1"/>
    <x:col min="7" max="7" width="14" hidden="0" customWidth="1"/>
    <x:col min="8" max="8" width="14" hidden="0" customWidth="1"/>
  </x:cols>
  <x:sheetData>
    <x:row r="1" ht="42" customHeight="1">
      <x:c r="A1" s="1" t="str">
        <x:v>Repository</x:v>
      </x:c>
      <x:c r="B1" s="1" t="str">
        <x:v>Valid pairs</x:v>
      </x:c>
      <x:c r="C1" s="1" t="str">
        <x:v>Agreements</x:v>
      </x:c>
      <x:c r="D1" s="1" t="str">
        <x:v>p_o</x:v>
      </x:c>
      <x:c r="E1" s="1" t="str">
        <x:v>p_e</x:v>
      </x:c>
      <x:c r="F1" s="1" t="str">
        <x:v>Kappa</x:v>
      </x:c>
      <x:c r="G1" s="1" t="str">
        <x:v>Round A missing</x:v>
      </x:c>
      <x:c r="H1" s="1" t="str">
        <x:v>Round B missing</x:v>
      </x:c>
    </x:row>
    <x:row r="2" ht="35" customHeight="1">
      <x:c r="A2" s="2" t="str">
        <x:v>NousResearch/hermes-agent</x:v>
      </x:c>
      <x:c r="B2" s="2" t="n">
        <x:v>79</x:v>
      </x:c>
      <x:c r="C2" s="2" t="n">
        <x:v>74</x:v>
      </x:c>
      <x:c r="D2" s="3" t="n">
        <x:v>0.9367088607594937</x:v>
      </x:c>
      <x:c r="E2" s="3" t="n">
        <x:v>0.22592533247876942</x:v>
      </x:c>
      <x:c r="F2" s="4" t="n">
        <x:v>0.9182363899813704</x:v>
      </x:c>
      <x:c r="G2" s="2" t="n">
        <x:v>0</x:v>
      </x:c>
      <x:c r="H2" s="2" t="n">
        <x:v>0</x:v>
      </x:c>
    </x:row>
    <x:row r="3" ht="35" customHeight="1">
      <x:c r="A3" s="2" t="str">
        <x:v>earendil-works/pi</x:v>
      </x:c>
      <x:c r="B3" s="2" t="n">
        <x:v>29</x:v>
      </x:c>
      <x:c r="C3" s="2" t="n">
        <x:v>27</x:v>
      </x:c>
      <x:c r="D3" s="3" t="n">
        <x:v>0.9310344827586207</x:v>
      </x:c>
      <x:c r="E3" s="3" t="n">
        <x:v>0.3269916765755054</x:v>
      </x:c>
      <x:c r="F3" s="4" t="n">
        <x:v>0.8975265017667845</x:v>
      </x:c>
      <x:c r="G3" s="2" t="n">
        <x:v>0</x:v>
      </x:c>
      <x:c r="H3" s="2" t="n">
        <x:v>0</x:v>
      </x:c>
    </x:row>
    <x:row r="4" ht="35" customHeight="1">
      <x:c r="A4" s="2" t="str">
        <x:v>langgenius/dify</x:v>
      </x:c>
      <x:c r="B4" s="2" t="n">
        <x:v>33</x:v>
      </x:c>
      <x:c r="C4" s="2" t="n">
        <x:v>28</x:v>
      </x:c>
      <x:c r="D4" s="3" t="n">
        <x:v>0.8484848484848485</x:v>
      </x:c>
      <x:c r="E4" s="3" t="n">
        <x:v>0.2846648301193756</x:v>
      </x:c>
      <x:c r="F4" s="4" t="n">
        <x:v>0.7881899871630296</x:v>
      </x:c>
      <x:c r="G4" s="2" t="n">
        <x:v>0</x:v>
      </x:c>
      <x:c r="H4" s="2" t="n">
        <x:v>0</x:v>
      </x:c>
    </x:row>
    <x:row r="5" ht="35" customHeight="1">
      <x:c r="A5" s="2" t="str">
        <x:v>open-webui/open-webui</x:v>
      </x:c>
      <x:c r="B5" s="2" t="n">
        <x:v>18</x:v>
      </x:c>
      <x:c r="C5" s="2" t="n">
        <x:v>16</x:v>
      </x:c>
      <x:c r="D5" s="3" t="n">
        <x:v>0.8888888888888888</x:v>
      </x:c>
      <x:c r="E5" s="3" t="n">
        <x:v>0.2993827160493827</x:v>
      </x:c>
      <x:c r="F5" s="4" t="n">
        <x:v>0.8414096916299559</x:v>
      </x:c>
      <x:c r="G5" s="2" t="n">
        <x:v>0</x:v>
      </x:c>
      <x:c r="H5" s="2" t="n">
        <x:v>0</x:v>
      </x:c>
    </x:row>
    <x:row r="6" ht="35" customHeight="1">
      <x:c r="A6" s="2" t="str">
        <x:v>openclaw/openclaw</x:v>
      </x:c>
      <x:c r="B6" s="2" t="n">
        <x:v>77</x:v>
      </x:c>
      <x:c r="C6" s="2" t="n">
        <x:v>71</x:v>
      </x:c>
      <x:c r="D6" s="3" t="n">
        <x:v>0.922077922077922</x:v>
      </x:c>
      <x:c r="E6" s="3" t="n">
        <x:v>0.29431607353685274</x:v>
      </x:c>
      <x:c r="F6" s="4" t="n">
        <x:v>0.8895793499043977</x:v>
      </x:c>
      <x:c r="G6" s="2" t="n">
        <x:v>0</x:v>
      </x:c>
      <x:c r="H6" s="2" t="n">
        <x:v>0</x:v>
      </x:c>
    </x:row>
  </x:sheetData>
  <x:pageMargins left="0.7" right="0.7" top="0.75" bottom="0.75" header="0.3" footer="0.3"/>
  <x:tableParts count="1">
    <x:tablePart xmlns:r="http://schemas.openxmlformats.org/officeDocument/2006/relationships" r:id="R89df61fb2b8349a7"/>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6" hidden="0" customWidth="1"/>
    <x:col min="3" max="3" width="14" hidden="0" customWidth="1"/>
    <x:col min="4" max="4" width="12" hidden="0" customWidth="1"/>
    <x:col min="5" max="5" width="18" hidden="0" customWidth="1"/>
    <x:col min="6" max="6" width="18" hidden="0" customWidth="1"/>
    <x:col min="7" max="7" width="16" hidden="0" customWidth="1"/>
  </x:cols>
  <x:sheetData>
    <x:row r="1" ht="42" customHeight="1">
      <x:c r="A1" s="1" t="str">
        <x:v>Record ID</x:v>
      </x:c>
      <x:c r="B1" s="1" t="str">
        <x:v>Repository</x:v>
      </x:c>
      <x:c r="C1" s="1" t="str">
        <x:v>Issue</x:v>
      </x:c>
      <x:c r="D1" s="1" t="str">
        <x:v>Root-cause ID</x:v>
      </x:c>
      <x:c r="E1" s="1" t="str">
        <x:v>Round A original label</x:v>
      </x:c>
      <x:c r="F1" s="1" t="str">
        <x:v>Round B original label</x:v>
      </x:c>
      <x:c r="G1" s="1" t="str">
        <x:v>Agreement</x:v>
      </x:c>
    </x:row>
    <x:row r="2" ht="24" customHeight="1">
      <x:c r="A2" s="2" t="str">
        <x:v>R0242</x:v>
      </x:c>
      <x:c r="B2" s="2" t="str">
        <x:v>NousResearch/hermes-agent</x:v>
      </x:c>
      <x:c r="C2" s="2" t="n">
        <x:v>76938</x:v>
      </x:c>
      <x:c r="D2" s="2" t="str">
        <x:v>C08</x:v>
      </x:c>
      <x:c r="E2" s="2" t="str">
        <x:v>F01</x:v>
      </x:c>
      <x:c r="F2" s="2" t="str">
        <x:v>F01</x:v>
      </x:c>
      <x:c r="G2" s="2" t="n">
        <x:f>IF(OR(E2="",F2=""),"",IF(E2=F2,1,0))</x:f>
        <x:v>1</x:v>
      </x:c>
    </x:row>
    <x:row r="3" ht="24" customHeight="1">
      <x:c r="A3" s="2" t="str">
        <x:v>R0241</x:v>
      </x:c>
      <x:c r="B3" s="2" t="str">
        <x:v>NousResearch/hermes-agent</x:v>
      </x:c>
      <x:c r="C3" s="2" t="n">
        <x:v>75228</x:v>
      </x:c>
      <x:c r="D3" s="2" t="str">
        <x:v>C21</x:v>
      </x:c>
      <x:c r="E3" s="2" t="str">
        <x:v>F02</x:v>
      </x:c>
      <x:c r="F3" s="2" t="str">
        <x:v>F04</x:v>
      </x:c>
      <x:c r="G3" s="2" t="n">
        <x:f>IF(OR(E3="",F3=""),"",IF(E3=F3,1,0))</x:f>
        <x:v>0</x:v>
      </x:c>
    </x:row>
    <x:row r="4" ht="24" customHeight="1">
      <x:c r="A4" s="2" t="str">
        <x:v>R0240</x:v>
      </x:c>
      <x:c r="B4" s="2" t="str">
        <x:v>NousResearch/hermes-agent</x:v>
      </x:c>
      <x:c r="C4" s="2" t="n">
        <x:v>74811</x:v>
      </x:c>
      <x:c r="D4" s="2" t="str">
        <x:v>C13</x:v>
      </x:c>
      <x:c r="E4" s="2" t="str">
        <x:v>F03</x:v>
      </x:c>
      <x:c r="F4" s="2" t="str">
        <x:v>F03</x:v>
      </x:c>
      <x:c r="G4" s="2" t="n">
        <x:f>IF(OR(E4="",F4=""),"",IF(E4=F4,1,0))</x:f>
        <x:v>1</x:v>
      </x:c>
    </x:row>
    <x:row r="5" ht="24" customHeight="1">
      <x:c r="A5" s="2" t="str">
        <x:v>R0239</x:v>
      </x:c>
      <x:c r="B5" s="2" t="str">
        <x:v>NousResearch/hermes-agent</x:v>
      </x:c>
      <x:c r="C5" s="2" t="n">
        <x:v>72215</x:v>
      </x:c>
      <x:c r="D5" s="2" t="str">
        <x:v>C09</x:v>
      </x:c>
      <x:c r="E5" s="2" t="str">
        <x:v>F03</x:v>
      </x:c>
      <x:c r="F5" s="2" t="str">
        <x:v>F03</x:v>
      </x:c>
      <x:c r="G5" s="2" t="n">
        <x:f>IF(OR(E5="",F5=""),"",IF(E5=F5,1,0))</x:f>
        <x:v>1</x:v>
      </x:c>
    </x:row>
    <x:row r="6" ht="24" customHeight="1">
      <x:c r="A6" s="2" t="str">
        <x:v>R0238</x:v>
      </x:c>
      <x:c r="B6" s="2" t="str">
        <x:v>NousResearch/hermes-agent</x:v>
      </x:c>
      <x:c r="C6" s="2" t="n">
        <x:v>70856</x:v>
      </x:c>
      <x:c r="D6" s="2" t="str">
        <x:v>C15</x:v>
      </x:c>
      <x:c r="E6" s="2" t="str">
        <x:v>F01</x:v>
      </x:c>
      <x:c r="F6" s="2" t="str">
        <x:v>F01</x:v>
      </x:c>
      <x:c r="G6" s="2" t="n">
        <x:f>IF(OR(E6="",F6=""),"",IF(E6=F6,1,0))</x:f>
        <x:v>1</x:v>
      </x:c>
    </x:row>
    <x:row r="7" ht="24" customHeight="1">
      <x:c r="A7" s="2" t="str">
        <x:v>R0237</x:v>
      </x:c>
      <x:c r="B7" s="2" t="str">
        <x:v>NousResearch/hermes-agent</x:v>
      </x:c>
      <x:c r="C7" s="2" t="n">
        <x:v>68311</x:v>
      </x:c>
      <x:c r="D7" s="2" t="str">
        <x:v>C21</x:v>
      </x:c>
      <x:c r="E7" s="2" t="str">
        <x:v>F03</x:v>
      </x:c>
      <x:c r="F7" s="2" t="str">
        <x:v>F03</x:v>
      </x:c>
      <x:c r="G7" s="2" t="n">
        <x:f>IF(OR(E7="",F7=""),"",IF(E7=F7,1,0))</x:f>
        <x:v>1</x:v>
      </x:c>
    </x:row>
    <x:row r="8" ht="24" customHeight="1">
      <x:c r="A8" s="2" t="str">
        <x:v>R0236</x:v>
      </x:c>
      <x:c r="B8" s="2" t="str">
        <x:v>NousResearch/hermes-agent</x:v>
      </x:c>
      <x:c r="C8" s="2" t="n">
        <x:v>67052</x:v>
      </x:c>
      <x:c r="D8" s="2" t="str">
        <x:v>C13</x:v>
      </x:c>
      <x:c r="E8" s="2" t="str">
        <x:v>F01</x:v>
      </x:c>
      <x:c r="F8" s="2" t="str">
        <x:v>F01</x:v>
      </x:c>
      <x:c r="G8" s="2" t="n">
        <x:f>IF(OR(E8="",F8=""),"",IF(E8=F8,1,0))</x:f>
        <x:v>1</x:v>
      </x:c>
    </x:row>
    <x:row r="9" ht="24" customHeight="1">
      <x:c r="A9" s="2" t="str">
        <x:v>R0230</x:v>
      </x:c>
      <x:c r="B9" s="2" t="str">
        <x:v>NousResearch/hermes-agent</x:v>
      </x:c>
      <x:c r="C9" s="2" t="n">
        <x:v>60381</x:v>
      </x:c>
      <x:c r="D9" s="2" t="str">
        <x:v>C04</x:v>
      </x:c>
      <x:c r="E9" s="2" t="str">
        <x:v>U1</x:v>
      </x:c>
      <x:c r="F9" s="2" t="str">
        <x:v>U1</x:v>
      </x:c>
      <x:c r="G9" s="2" t="n">
        <x:f>IF(OR(E9="",F9=""),"",IF(E9=F9,1,0))</x:f>
        <x:v>1</x:v>
      </x:c>
    </x:row>
    <x:row r="10" ht="24" customHeight="1">
      <x:c r="A10" s="2" t="str">
        <x:v>R0229</x:v>
      </x:c>
      <x:c r="B10" s="2" t="str">
        <x:v>NousResearch/hermes-agent</x:v>
      </x:c>
      <x:c r="C10" s="2" t="n">
        <x:v>60328</x:v>
      </x:c>
      <x:c r="D10" s="2" t="str">
        <x:v>C07</x:v>
      </x:c>
      <x:c r="E10" s="2" t="str">
        <x:v>F02</x:v>
      </x:c>
      <x:c r="F10" s="2" t="str">
        <x:v>F02</x:v>
      </x:c>
      <x:c r="G10" s="2" t="n">
        <x:f>IF(OR(E10="",F10=""),"",IF(E10=F10,1,0))</x:f>
        <x:v>1</x:v>
      </x:c>
    </x:row>
    <x:row r="11" ht="24" customHeight="1">
      <x:c r="A11" s="2" t="str">
        <x:v>R0228</x:v>
      </x:c>
      <x:c r="B11" s="2" t="str">
        <x:v>NousResearch/hermes-agent</x:v>
      </x:c>
      <x:c r="C11" s="2" t="n">
        <x:v>60119</x:v>
      </x:c>
      <x:c r="D11" s="2" t="str">
        <x:v>C09</x:v>
      </x:c>
      <x:c r="E11" s="2" t="str">
        <x:v>F02</x:v>
      </x:c>
      <x:c r="F11" s="2" t="str">
        <x:v>F02</x:v>
      </x:c>
      <x:c r="G11" s="2" t="n">
        <x:f>IF(OR(E11="",F11=""),"",IF(E11=F11,1,0))</x:f>
        <x:v>1</x:v>
      </x:c>
    </x:row>
    <x:row r="12" ht="24" customHeight="1">
      <x:c r="A12" s="2" t="str">
        <x:v>R0227</x:v>
      </x:c>
      <x:c r="B12" s="2" t="str">
        <x:v>NousResearch/hermes-agent</x:v>
      </x:c>
      <x:c r="C12" s="2" t="n">
        <x:v>59769</x:v>
      </x:c>
      <x:c r="D12" s="2" t="str">
        <x:v>C12</x:v>
      </x:c>
      <x:c r="E12" s="2" t="str">
        <x:v>F03</x:v>
      </x:c>
      <x:c r="F12" s="2" t="str">
        <x:v>F03</x:v>
      </x:c>
      <x:c r="G12" s="2" t="n">
        <x:f>IF(OR(E12="",F12=""),"",IF(E12=F12,1,0))</x:f>
        <x:v>1</x:v>
      </x:c>
    </x:row>
    <x:row r="13" ht="24" customHeight="1">
      <x:c r="A13" s="2" t="str">
        <x:v>R0226</x:v>
      </x:c>
      <x:c r="B13" s="2" t="str">
        <x:v>NousResearch/hermes-agent</x:v>
      </x:c>
      <x:c r="C13" s="2" t="n">
        <x:v>59403</x:v>
      </x:c>
      <x:c r="D13" s="2" t="str">
        <x:v>C12</x:v>
      </x:c>
      <x:c r="E13" s="2" t="str">
        <x:v>F03</x:v>
      </x:c>
      <x:c r="F13" s="2" t="str">
        <x:v>F03</x:v>
      </x:c>
      <x:c r="G13" s="2" t="n">
        <x:f>IF(OR(E13="",F13=""),"",IF(E13=F13,1,0))</x:f>
        <x:v>1</x:v>
      </x:c>
    </x:row>
    <x:row r="14" ht="24" customHeight="1">
      <x:c r="A14" s="2" t="str">
        <x:v>R0225</x:v>
      </x:c>
      <x:c r="B14" s="2" t="str">
        <x:v>NousResearch/hermes-agent</x:v>
      </x:c>
      <x:c r="C14" s="2" t="n">
        <x:v>58168</x:v>
      </x:c>
      <x:c r="D14" s="2" t="str">
        <x:v>C05</x:v>
      </x:c>
      <x:c r="E14" s="2" t="str">
        <x:v>F01</x:v>
      </x:c>
      <x:c r="F14" s="2" t="str">
        <x:v>F01</x:v>
      </x:c>
      <x:c r="G14" s="2" t="n">
        <x:f>IF(OR(E14="",F14=""),"",IF(E14=F14,1,0))</x:f>
        <x:v>1</x:v>
      </x:c>
    </x:row>
    <x:row r="15" ht="24" customHeight="1">
      <x:c r="A15" s="2" t="str">
        <x:v>R0224</x:v>
      </x:c>
      <x:c r="B15" s="2" t="str">
        <x:v>NousResearch/hermes-agent</x:v>
      </x:c>
      <x:c r="C15" s="2" t="n">
        <x:v>57986</x:v>
      </x:c>
      <x:c r="D15" s="2" t="str">
        <x:v>C12</x:v>
      </x:c>
      <x:c r="E15" s="2" t="str">
        <x:v>F03</x:v>
      </x:c>
      <x:c r="F15" s="2" t="str">
        <x:v>F03</x:v>
      </x:c>
      <x:c r="G15" s="2" t="n">
        <x:f>IF(OR(E15="",F15=""),"",IF(E15=F15,1,0))</x:f>
        <x:v>1</x:v>
      </x:c>
    </x:row>
    <x:row r="16" ht="24" customHeight="1">
      <x:c r="A16" s="2" t="str">
        <x:v>R0219</x:v>
      </x:c>
      <x:c r="B16" s="2" t="str">
        <x:v>NousResearch/hermes-agent</x:v>
      </x:c>
      <x:c r="C16" s="2" t="n">
        <x:v>53359</x:v>
      </x:c>
      <x:c r="D16" s="2" t="str">
        <x:v>C20</x:v>
      </x:c>
      <x:c r="E16" s="2" t="str">
        <x:v>U1</x:v>
      </x:c>
      <x:c r="F16" s="2" t="str">
        <x:v>U1</x:v>
      </x:c>
      <x:c r="G16" s="2" t="n">
        <x:f>IF(OR(E16="",F16=""),"",IF(E16=F16,1,0))</x:f>
        <x:v>1</x:v>
      </x:c>
    </x:row>
    <x:row r="17" ht="24" customHeight="1">
      <x:c r="A17" s="2" t="str">
        <x:v>R0217</x:v>
      </x:c>
      <x:c r="B17" s="2" t="str">
        <x:v>NousResearch/hermes-agent</x:v>
      </x:c>
      <x:c r="C17" s="2" t="n">
        <x:v>51767</x:v>
      </x:c>
      <x:c r="D17" s="2" t="str">
        <x:v>C06</x:v>
      </x:c>
      <x:c r="E17" s="2" t="str">
        <x:v>F02</x:v>
      </x:c>
      <x:c r="F17" s="2" t="str">
        <x:v>F02</x:v>
      </x:c>
      <x:c r="G17" s="2" t="n">
        <x:f>IF(OR(E17="",F17=""),"",IF(E17=F17,1,0))</x:f>
        <x:v>1</x:v>
      </x:c>
    </x:row>
    <x:row r="18" ht="24" customHeight="1">
      <x:c r="A18" s="2" t="str">
        <x:v>R0215</x:v>
      </x:c>
      <x:c r="B18" s="2" t="str">
        <x:v>NousResearch/hermes-agent</x:v>
      </x:c>
      <x:c r="C18" s="2" t="n">
        <x:v>50245</x:v>
      </x:c>
      <x:c r="D18" s="2" t="str">
        <x:v>C15</x:v>
      </x:c>
      <x:c r="E18" s="2" t="str">
        <x:v>F03</x:v>
      </x:c>
      <x:c r="F18" s="2" t="str">
        <x:v>F03</x:v>
      </x:c>
      <x:c r="G18" s="2" t="n">
        <x:f>IF(OR(E18="",F18=""),"",IF(E18=F18,1,0))</x:f>
        <x:v>1</x:v>
      </x:c>
    </x:row>
    <x:row r="19" ht="24" customHeight="1">
      <x:c r="A19" s="2" t="str">
        <x:v>R0213</x:v>
      </x:c>
      <x:c r="B19" s="2" t="str">
        <x:v>NousResearch/hermes-agent</x:v>
      </x:c>
      <x:c r="C19" s="2" t="n">
        <x:v>47647</x:v>
      </x:c>
      <x:c r="D19" s="2" t="str">
        <x:v>C05</x:v>
      </x:c>
      <x:c r="E19" s="2" t="str">
        <x:v>F01</x:v>
      </x:c>
      <x:c r="F19" s="2" t="str">
        <x:v>F01</x:v>
      </x:c>
      <x:c r="G19" s="2" t="n">
        <x:f>IF(OR(E19="",F19=""),"",IF(E19=F19,1,0))</x:f>
        <x:v>1</x:v>
      </x:c>
    </x:row>
    <x:row r="20" ht="24" customHeight="1">
      <x:c r="A20" s="2" t="str">
        <x:v>R0211</x:v>
      </x:c>
      <x:c r="B20" s="2" t="str">
        <x:v>NousResearch/hermes-agent</x:v>
      </x:c>
      <x:c r="C20" s="2" t="n">
        <x:v>44711</x:v>
      </x:c>
      <x:c r="D20" s="2" t="str">
        <x:v>C13</x:v>
      </x:c>
      <x:c r="E20" s="2" t="str">
        <x:v>F02</x:v>
      </x:c>
      <x:c r="F20" s="2" t="str">
        <x:v>F02</x:v>
      </x:c>
      <x:c r="G20" s="2" t="n">
        <x:f>IF(OR(E20="",F20=""),"",IF(E20=F20,1,0))</x:f>
        <x:v>1</x:v>
      </x:c>
    </x:row>
    <x:row r="21" ht="24" customHeight="1">
      <x:c r="A21" s="2" t="str">
        <x:v>R0210</x:v>
      </x:c>
      <x:c r="B21" s="2" t="str">
        <x:v>NousResearch/hermes-agent</x:v>
      </x:c>
      <x:c r="C21" s="2" t="n">
        <x:v>44394</x:v>
      </x:c>
      <x:c r="D21" s="2" t="str">
        <x:v>C08</x:v>
      </x:c>
      <x:c r="E21" s="2" t="str">
        <x:v>U1</x:v>
      </x:c>
      <x:c r="F21" s="2" t="str">
        <x:v>U1</x:v>
      </x:c>
      <x:c r="G21" s="2" t="n">
        <x:f>IF(OR(E21="",F21=""),"",IF(E21=F21,1,0))</x:f>
        <x:v>1</x:v>
      </x:c>
    </x:row>
    <x:row r="22" ht="24" customHeight="1">
      <x:c r="A22" s="2" t="str">
        <x:v>R0204</x:v>
      </x:c>
      <x:c r="B22" s="2" t="str">
        <x:v>NousResearch/hermes-agent</x:v>
      </x:c>
      <x:c r="C22" s="2" t="n">
        <x:v>38459</x:v>
      </x:c>
      <x:c r="D22" s="2" t="str">
        <x:v>C11</x:v>
      </x:c>
      <x:c r="E22" s="2" t="str">
        <x:v>F02</x:v>
      </x:c>
      <x:c r="F22" s="2" t="str">
        <x:v>F02</x:v>
      </x:c>
      <x:c r="G22" s="2" t="n">
        <x:f>IF(OR(E22="",F22=""),"",IF(E22=F22,1,0))</x:f>
        <x:v>1</x:v>
      </x:c>
    </x:row>
    <x:row r="23" ht="24" customHeight="1">
      <x:c r="A23" s="2" t="str">
        <x:v>R0202</x:v>
      </x:c>
      <x:c r="B23" s="2" t="str">
        <x:v>NousResearch/hermes-agent</x:v>
      </x:c>
      <x:c r="C23" s="2" t="n">
        <x:v>36012</x:v>
      </x:c>
      <x:c r="D23" s="2" t="str">
        <x:v>C23</x:v>
      </x:c>
      <x:c r="E23" s="2" t="str">
        <x:v>F01</x:v>
      </x:c>
      <x:c r="F23" s="2" t="str">
        <x:v>F01</x:v>
      </x:c>
      <x:c r="G23" s="2" t="n">
        <x:f>IF(OR(E23="",F23=""),"",IF(E23=F23,1,0))</x:f>
        <x:v>1</x:v>
      </x:c>
    </x:row>
    <x:row r="24" ht="24" customHeight="1">
      <x:c r="A24" s="2" t="str">
        <x:v>R0201</x:v>
      </x:c>
      <x:c r="B24" s="2" t="str">
        <x:v>NousResearch/hermes-agent</x:v>
      </x:c>
      <x:c r="C24" s="2" t="n">
        <x:v>35736</x:v>
      </x:c>
      <x:c r="D24" s="2" t="str">
        <x:v>C03</x:v>
      </x:c>
      <x:c r="E24" s="2" t="str">
        <x:v>F01</x:v>
      </x:c>
      <x:c r="F24" s="2" t="str">
        <x:v>F01</x:v>
      </x:c>
      <x:c r="G24" s="2" t="n">
        <x:f>IF(OR(E24="",F24=""),"",IF(E24=F24,1,0))</x:f>
        <x:v>1</x:v>
      </x:c>
    </x:row>
    <x:row r="25" ht="24" customHeight="1">
      <x:c r="A25" s="2" t="str">
        <x:v>R0200</x:v>
      </x:c>
      <x:c r="B25" s="2" t="str">
        <x:v>NousResearch/hermes-agent</x:v>
      </x:c>
      <x:c r="C25" s="2" t="n">
        <x:v>35406</x:v>
      </x:c>
      <x:c r="D25" s="2" t="str">
        <x:v>C21</x:v>
      </x:c>
      <x:c r="E25" s="2" t="str">
        <x:v>F04</x:v>
      </x:c>
      <x:c r="F25" s="2" t="str">
        <x:v>F04</x:v>
      </x:c>
      <x:c r="G25" s="2" t="n">
        <x:f>IF(OR(E25="",F25=""),"",IF(E25=F25,1,0))</x:f>
        <x:v>1</x:v>
      </x:c>
    </x:row>
    <x:row r="26" ht="24" customHeight="1">
      <x:c r="A26" s="2" t="str">
        <x:v>R0199</x:v>
      </x:c>
      <x:c r="B26" s="2" t="str">
        <x:v>NousResearch/hermes-agent</x:v>
      </x:c>
      <x:c r="C26" s="2" t="n">
        <x:v>34806</x:v>
      </x:c>
      <x:c r="D26" s="2" t="str">
        <x:v>C01</x:v>
      </x:c>
      <x:c r="E26" s="2" t="str">
        <x:v>F01</x:v>
      </x:c>
      <x:c r="F26" s="2" t="str">
        <x:v>F01</x:v>
      </x:c>
      <x:c r="G26" s="2" t="n">
        <x:f>IF(OR(E26="",F26=""),"",IF(E26=F26,1,0))</x:f>
        <x:v>1</x:v>
      </x:c>
    </x:row>
    <x:row r="27" ht="24" customHeight="1">
      <x:c r="A27" s="2" t="str">
        <x:v>R0198</x:v>
      </x:c>
      <x:c r="B27" s="2" t="str">
        <x:v>NousResearch/hermes-agent</x:v>
      </x:c>
      <x:c r="C27" s="2" t="n">
        <x:v>34689</x:v>
      </x:c>
      <x:c r="D27" s="2" t="str">
        <x:v>C17</x:v>
      </x:c>
      <x:c r="E27" s="2" t="str">
        <x:v>U1</x:v>
      </x:c>
      <x:c r="F27" s="2" t="str">
        <x:v>U1</x:v>
      </x:c>
      <x:c r="G27" s="2" t="n">
        <x:f>IF(OR(E27="",F27=""),"",IF(E27=F27,1,0))</x:f>
        <x:v>1</x:v>
      </x:c>
    </x:row>
    <x:row r="28" ht="24" customHeight="1">
      <x:c r="A28" s="2" t="str">
        <x:v>R0197</x:v>
      </x:c>
      <x:c r="B28" s="2" t="str">
        <x:v>NousResearch/hermes-agent</x:v>
      </x:c>
      <x:c r="C28" s="2" t="n">
        <x:v>33925</x:v>
      </x:c>
      <x:c r="D28" s="2" t="str">
        <x:v>C07</x:v>
      </x:c>
      <x:c r="E28" s="2" t="str">
        <x:v>F02</x:v>
      </x:c>
      <x:c r="F28" s="2" t="str">
        <x:v>F02</x:v>
      </x:c>
      <x:c r="G28" s="2" t="n">
        <x:f>IF(OR(E28="",F28=""),"",IF(E28=F28,1,0))</x:f>
        <x:v>1</x:v>
      </x:c>
    </x:row>
    <x:row r="29" ht="24" customHeight="1">
      <x:c r="A29" s="2" t="str">
        <x:v>R0196</x:v>
      </x:c>
      <x:c r="B29" s="2" t="str">
        <x:v>NousResearch/hermes-agent</x:v>
      </x:c>
      <x:c r="C29" s="2" t="n">
        <x:v>33525</x:v>
      </x:c>
      <x:c r="D29" s="2" t="str">
        <x:v>C17</x:v>
      </x:c>
      <x:c r="E29" s="2" t="str">
        <x:v>F03</x:v>
      </x:c>
      <x:c r="F29" s="2" t="str">
        <x:v>F03</x:v>
      </x:c>
      <x:c r="G29" s="2" t="n">
        <x:f>IF(OR(E29="",F29=""),"",IF(E29=F29,1,0))</x:f>
        <x:v>1</x:v>
      </x:c>
    </x:row>
    <x:row r="30" ht="24" customHeight="1">
      <x:c r="A30" s="2" t="str">
        <x:v>R0195</x:v>
      </x:c>
      <x:c r="B30" s="2" t="str">
        <x:v>NousResearch/hermes-agent</x:v>
      </x:c>
      <x:c r="C30" s="2" t="n">
        <x:v>33299</x:v>
      </x:c>
      <x:c r="D30" s="2" t="str">
        <x:v>C18</x:v>
      </x:c>
      <x:c r="E30" s="2" t="str">
        <x:v>F02</x:v>
      </x:c>
      <x:c r="F30" s="2" t="str">
        <x:v>F02</x:v>
      </x:c>
      <x:c r="G30" s="2" t="n">
        <x:f>IF(OR(E30="",F30=""),"",IF(E30=F30,1,0))</x:f>
        <x:v>1</x:v>
      </x:c>
    </x:row>
    <x:row r="31" ht="24" customHeight="1">
      <x:c r="A31" s="2" t="str">
        <x:v>R0194</x:v>
      </x:c>
      <x:c r="B31" s="2" t="str">
        <x:v>NousResearch/hermes-agent</x:v>
      </x:c>
      <x:c r="C31" s="2" t="n">
        <x:v>32899</x:v>
      </x:c>
      <x:c r="D31" s="2" t="str">
        <x:v>C16</x:v>
      </x:c>
      <x:c r="E31" s="2" t="str">
        <x:v>F01</x:v>
      </x:c>
      <x:c r="F31" s="2" t="str">
        <x:v>F01</x:v>
      </x:c>
      <x:c r="G31" s="2" t="n">
        <x:f>IF(OR(E31="",F31=""),"",IF(E31=F31,1,0))</x:f>
        <x:v>1</x:v>
      </x:c>
    </x:row>
    <x:row r="32" ht="24" customHeight="1">
      <x:c r="A32" s="2" t="str">
        <x:v>R0154</x:v>
      </x:c>
      <x:c r="B32" s="2" t="str">
        <x:v>NousResearch/hermes-agent</x:v>
      </x:c>
      <x:c r="C32" s="2" t="n">
        <x:v>9712</x:v>
      </x:c>
      <x:c r="D32" s="2" t="str">
        <x:v>C16</x:v>
      </x:c>
      <x:c r="E32" s="2" t="str">
        <x:v>F01</x:v>
      </x:c>
      <x:c r="F32" s="2" t="str">
        <x:v>F01</x:v>
      </x:c>
      <x:c r="G32" s="2" t="n">
        <x:f>IF(OR(E32="",F32=""),"",IF(E32=F32,1,0))</x:f>
        <x:v>1</x:v>
      </x:c>
    </x:row>
    <x:row r="33" ht="24" customHeight="1">
      <x:c r="A33" s="2" t="str">
        <x:v>R0177</x:v>
      </x:c>
      <x:c r="B33" s="2" t="str">
        <x:v>NousResearch/hermes-agent</x:v>
      </x:c>
      <x:c r="C33" s="2" t="n">
        <x:v>22563</x:v>
      </x:c>
      <x:c r="D33" s="2" t="str">
        <x:v>C08</x:v>
      </x:c>
      <x:c r="E33" s="2" t="str">
        <x:v>F01</x:v>
      </x:c>
      <x:c r="F33" s="2" t="str">
        <x:v>F01</x:v>
      </x:c>
      <x:c r="G33" s="2" t="n">
        <x:f>IF(OR(E33="",F33=""),"",IF(E33=F33,1,0))</x:f>
        <x:v>1</x:v>
      </x:c>
    </x:row>
    <x:row r="34" ht="24" customHeight="1">
      <x:c r="A34" s="2" t="str">
        <x:v>R0040</x:v>
      </x:c>
      <x:c r="B34" s="2" t="str">
        <x:v>openclaw/openclaw</x:v>
      </x:c>
      <x:c r="C34" s="2" t="n">
        <x:v>46894</x:v>
      </x:c>
      <x:c r="D34" s="2" t="str">
        <x:v>C10</x:v>
      </x:c>
      <x:c r="E34" s="2" t="str">
        <x:v>F02</x:v>
      </x:c>
      <x:c r="F34" s="2" t="str">
        <x:v>F02</x:v>
      </x:c>
      <x:c r="G34" s="2" t="n">
        <x:f>IF(OR(E34="",F34=""),"",IF(E34=F34,1,0))</x:f>
        <x:v>1</x:v>
      </x:c>
    </x:row>
    <x:row r="35" ht="24" customHeight="1">
      <x:c r="A35" s="2" t="str">
        <x:v>R0056</x:v>
      </x:c>
      <x:c r="B35" s="2" t="str">
        <x:v>openclaw/openclaw</x:v>
      </x:c>
      <x:c r="C35" s="2" t="n">
        <x:v>56699</x:v>
      </x:c>
      <x:c r="D35" s="2" t="str">
        <x:v>C15</x:v>
      </x:c>
      <x:c r="E35" s="2" t="str">
        <x:v>F03</x:v>
      </x:c>
      <x:c r="F35" s="2" t="str">
        <x:v>F03</x:v>
      </x:c>
      <x:c r="G35" s="2" t="n">
        <x:f>IF(OR(E35="",F35=""),"",IF(E35=F35,1,0))</x:f>
        <x:v>1</x:v>
      </x:c>
    </x:row>
    <x:row r="36" ht="24" customHeight="1">
      <x:c r="A36" s="2" t="str">
        <x:v>R0072</x:v>
      </x:c>
      <x:c r="B36" s="2" t="str">
        <x:v>openclaw/openclaw</x:v>
      </x:c>
      <x:c r="C36" s="2" t="n">
        <x:v>69386</x:v>
      </x:c>
      <x:c r="D36" s="2" t="str">
        <x:v>C10</x:v>
      </x:c>
      <x:c r="E36" s="2" t="str">
        <x:v>F02</x:v>
      </x:c>
      <x:c r="F36" s="2" t="str">
        <x:v>F02</x:v>
      </x:c>
      <x:c r="G36" s="2" t="n">
        <x:f>IF(OR(E36="",F36=""),"",IF(E36=F36,1,0))</x:f>
        <x:v>1</x:v>
      </x:c>
    </x:row>
    <x:row r="37" ht="24" customHeight="1">
      <x:c r="A37" s="2" t="str">
        <x:v>R0092</x:v>
      </x:c>
      <x:c r="B37" s="2" t="str">
        <x:v>openclaw/openclaw</x:v>
      </x:c>
      <x:c r="C37" s="2" t="n">
        <x:v>81594</x:v>
      </x:c>
      <x:c r="D37" s="2" t="str">
        <x:v>C05</x:v>
      </x:c>
      <x:c r="E37" s="2" t="str">
        <x:v>F02</x:v>
      </x:c>
      <x:c r="F37" s="2" t="str">
        <x:v>F02</x:v>
      </x:c>
      <x:c r="G37" s="2" t="n">
        <x:f>IF(OR(E37="",F37=""),"",IF(E37=F37,1,0))</x:f>
        <x:v>1</x:v>
      </x:c>
    </x:row>
    <x:row r="38" ht="24" customHeight="1">
      <x:c r="A38" s="2" t="str">
        <x:v>R0099</x:v>
      </x:c>
      <x:c r="B38" s="2" t="str">
        <x:v>openclaw/openclaw</x:v>
      </x:c>
      <x:c r="C38" s="2" t="n">
        <x:v>90638</x:v>
      </x:c>
      <x:c r="D38" s="2" t="str">
        <x:v>C15</x:v>
      </x:c>
      <x:c r="E38" s="2" t="str">
        <x:v>U1</x:v>
      </x:c>
      <x:c r="F38" s="2" t="str">
        <x:v>U1</x:v>
      </x:c>
      <x:c r="G38" s="2" t="n">
        <x:f>IF(OR(E38="",F38=""),"",IF(E38=F38,1,0))</x:f>
        <x:v>1</x:v>
      </x:c>
    </x:row>
    <x:row r="39" ht="24" customHeight="1">
      <x:c r="A39" s="2" t="str">
        <x:v>R0105</x:v>
      </x:c>
      <x:c r="B39" s="2" t="str">
        <x:v>openclaw/openclaw</x:v>
      </x:c>
      <x:c r="C39" s="2" t="n">
        <x:v>97686</x:v>
      </x:c>
      <x:c r="D39" s="2" t="str">
        <x:v>C10</x:v>
      </x:c>
      <x:c r="E39" s="2" t="str">
        <x:v>F02</x:v>
      </x:c>
      <x:c r="F39" s="2" t="str">
        <x:v>F02</x:v>
      </x:c>
      <x:c r="G39" s="2" t="n">
        <x:f>IF(OR(E39="",F39=""),"",IF(E39=F39,1,0))</x:f>
        <x:v>1</x:v>
      </x:c>
    </x:row>
    <x:row r="40" ht="24" customHeight="1">
      <x:c r="A40" s="2" t="str">
        <x:v>R0119</x:v>
      </x:c>
      <x:c r="B40" s="2" t="str">
        <x:v>openclaw/openclaw</x:v>
      </x:c>
      <x:c r="C40" s="2" t="n">
        <x:v>122812</x:v>
      </x:c>
      <x:c r="D40" s="2" t="str">
        <x:v>C08</x:v>
      </x:c>
      <x:c r="E40" s="2" t="str">
        <x:v>F02</x:v>
      </x:c>
      <x:c r="F40" s="2" t="str">
        <x:v>F02</x:v>
      </x:c>
      <x:c r="G40" s="2" t="n">
        <x:f>IF(OR(E40="",F40=""),"",IF(E40=F40,1,0))</x:f>
        <x:v>1</x:v>
      </x:c>
    </x:row>
    <x:row r="41" ht="24" customHeight="1">
      <x:c r="A41" s="2" t="str">
        <x:v>R0130</x:v>
      </x:c>
      <x:c r="B41" s="2" t="str">
        <x:v>NousResearch/hermes-agent</x:v>
      </x:c>
      <x:c r="C41" s="2" t="n">
        <x:v>44</x:v>
      </x:c>
      <x:c r="D41" s="2" t="str">
        <x:v>C23</x:v>
      </x:c>
      <x:c r="E41" s="2" t="str">
        <x:v>F01</x:v>
      </x:c>
      <x:c r="F41" s="2" t="str">
        <x:v>F01</x:v>
      </x:c>
      <x:c r="G41" s="2" t="n">
        <x:f>IF(OR(E41="",F41=""),"",IF(E41=F41,1,0))</x:f>
        <x:v>1</x:v>
      </x:c>
    </x:row>
    <x:row r="42" ht="24" customHeight="1">
      <x:c r="A42" s="2" t="str">
        <x:v>R0152</x:v>
      </x:c>
      <x:c r="B42" s="2" t="str">
        <x:v>NousResearch/hermes-agent</x:v>
      </x:c>
      <x:c r="C42" s="2" t="n">
        <x:v>8193</x:v>
      </x:c>
      <x:c r="D42" s="2" t="str">
        <x:v>C02</x:v>
      </x:c>
      <x:c r="E42" s="2" t="str">
        <x:v>F01</x:v>
      </x:c>
      <x:c r="F42" s="2" t="str">
        <x:v>F01</x:v>
      </x:c>
      <x:c r="G42" s="2" t="n">
        <x:f>IF(OR(E42="",F42=""),"",IF(E42=F42,1,0))</x:f>
        <x:v>1</x:v>
      </x:c>
    </x:row>
    <x:row r="43" ht="24" customHeight="1">
      <x:c r="A43" s="2" t="str">
        <x:v>R0159</x:v>
      </x:c>
      <x:c r="B43" s="2" t="str">
        <x:v>NousResearch/hermes-agent</x:v>
      </x:c>
      <x:c r="C43" s="2" t="n">
        <x:v>13027</x:v>
      </x:c>
      <x:c r="D43" s="2" t="str">
        <x:v>C16</x:v>
      </x:c>
      <x:c r="E43" s="2" t="str">
        <x:v>F03</x:v>
      </x:c>
      <x:c r="F43" s="2" t="str">
        <x:v>F02</x:v>
      </x:c>
      <x:c r="G43" s="2" t="n">
        <x:f>IF(OR(E43="",F43=""),"",IF(E43=F43,1,0))</x:f>
        <x:v>0</x:v>
      </x:c>
    </x:row>
    <x:row r="44" ht="24" customHeight="1">
      <x:c r="A44" s="2" t="str">
        <x:v>R0172</x:v>
      </x:c>
      <x:c r="B44" s="2" t="str">
        <x:v>NousResearch/hermes-agent</x:v>
      </x:c>
      <x:c r="C44" s="2" t="n">
        <x:v>18671</x:v>
      </x:c>
      <x:c r="D44" s="2" t="str">
        <x:v>C05</x:v>
      </x:c>
      <x:c r="E44" s="2" t="str">
        <x:v>F01</x:v>
      </x:c>
      <x:c r="F44" s="2" t="str">
        <x:v>F01</x:v>
      </x:c>
      <x:c r="G44" s="2" t="n">
        <x:f>IF(OR(E44="",F44=""),"",IF(E44=F44,1,0))</x:f>
        <x:v>1</x:v>
      </x:c>
    </x:row>
    <x:row r="45" ht="24" customHeight="1">
      <x:c r="A45" s="2" t="str">
        <x:v>R0216</x:v>
      </x:c>
      <x:c r="B45" s="2" t="str">
        <x:v>NousResearch/hermes-agent</x:v>
      </x:c>
      <x:c r="C45" s="2" t="n">
        <x:v>51691</x:v>
      </x:c>
      <x:c r="D45" s="2" t="str">
        <x:v>C01</x:v>
      </x:c>
      <x:c r="E45" s="2" t="str">
        <x:v>F01</x:v>
      </x:c>
      <x:c r="F45" s="2" t="str">
        <x:v>F01</x:v>
      </x:c>
      <x:c r="G45" s="2" t="n">
        <x:f>IF(OR(E45="",F45=""),"",IF(E45=F45,1,0))</x:f>
        <x:v>1</x:v>
      </x:c>
    </x:row>
    <x:row r="46" ht="24" customHeight="1">
      <x:c r="A46" s="2" t="str">
        <x:v>R0222</x:v>
      </x:c>
      <x:c r="B46" s="2" t="str">
        <x:v>NousResearch/hermes-agent</x:v>
      </x:c>
      <x:c r="C46" s="2" t="n">
        <x:v>57315</x:v>
      </x:c>
      <x:c r="D46" s="2" t="str">
        <x:v>C09</x:v>
      </x:c>
      <x:c r="E46" s="2" t="str">
        <x:v>U1</x:v>
      </x:c>
      <x:c r="F46" s="2" t="str">
        <x:v>U1</x:v>
      </x:c>
      <x:c r="G46" s="2" t="n">
        <x:f>IF(OR(E46="",F46=""),"",IF(E46=F46,1,0))</x:f>
        <x:v>1</x:v>
      </x:c>
    </x:row>
    <x:row r="47" ht="24" customHeight="1">
      <x:c r="A47" s="2" t="str">
        <x:v>R0233</x:v>
      </x:c>
      <x:c r="B47" s="2" t="str">
        <x:v>NousResearch/hermes-agent</x:v>
      </x:c>
      <x:c r="C47" s="2" t="n">
        <x:v>62863</x:v>
      </x:c>
      <x:c r="D47" s="2" t="str">
        <x:v>C10</x:v>
      </x:c>
      <x:c r="E47" s="2" t="str">
        <x:v>F02</x:v>
      </x:c>
      <x:c r="F47" s="2" t="str">
        <x:v>F02</x:v>
      </x:c>
      <x:c r="G47" s="2" t="n">
        <x:f>IF(OR(E47="",F47=""),"",IF(E47=F47,1,0))</x:f>
        <x:v>1</x:v>
      </x:c>
    </x:row>
    <x:row r="48" ht="24" customHeight="1">
      <x:c r="A48" s="2" t="str">
        <x:v>R0140</x:v>
      </x:c>
      <x:c r="B48" s="2" t="str">
        <x:v>NousResearch/hermes-agent</x:v>
      </x:c>
      <x:c r="C48" s="2" t="n">
        <x:v>4219</x:v>
      </x:c>
      <x:c r="D48" s="2" t="str">
        <x:v>C09</x:v>
      </x:c>
      <x:c r="E48" s="2" t="str">
        <x:v>F02</x:v>
      </x:c>
      <x:c r="F48" s="2" t="str">
        <x:v>F02</x:v>
      </x:c>
      <x:c r="G48" s="2" t="n">
        <x:f>IF(OR(E48="",F48=""),"",IF(E48=F48,1,0))</x:f>
        <x:v>1</x:v>
      </x:c>
    </x:row>
    <x:row r="49" ht="24" customHeight="1">
      <x:c r="A49" s="2" t="str">
        <x:v>R0020</x:v>
      </x:c>
      <x:c r="B49" s="2" t="str">
        <x:v>openclaw/openclaw</x:v>
      </x:c>
      <x:c r="C49" s="2" t="n">
        <x:v>23385</x:v>
      </x:c>
      <x:c r="D49" s="2" t="str">
        <x:v>C02</x:v>
      </x:c>
      <x:c r="E49" s="2" t="str">
        <x:v>F01</x:v>
      </x:c>
      <x:c r="F49" s="2" t="str">
        <x:v>F01</x:v>
      </x:c>
      <x:c r="G49" s="2" t="n">
        <x:f>IF(OR(E49="",F49=""),"",IF(E49=F49,1,0))</x:f>
        <x:v>1</x:v>
      </x:c>
    </x:row>
    <x:row r="50" ht="24" customHeight="1">
      <x:c r="A50" s="2" t="str">
        <x:v>R0083</x:v>
      </x:c>
      <x:c r="B50" s="2" t="str">
        <x:v>openclaw/openclaw</x:v>
      </x:c>
      <x:c r="C50" s="2" t="n">
        <x:v>76209</x:v>
      </x:c>
      <x:c r="D50" s="2" t="str">
        <x:v>C20</x:v>
      </x:c>
      <x:c r="E50" s="2" t="str">
        <x:v>F02</x:v>
      </x:c>
      <x:c r="F50" s="2" t="str">
        <x:v>F02</x:v>
      </x:c>
      <x:c r="G50" s="2" t="n">
        <x:f>IF(OR(E50="",F50=""),"",IF(E50=F50,1,0))</x:f>
        <x:v>1</x:v>
      </x:c>
    </x:row>
    <x:row r="51" ht="24" customHeight="1">
      <x:c r="A51" s="2" t="str">
        <x:v>R0088</x:v>
      </x:c>
      <x:c r="B51" s="2" t="str">
        <x:v>openclaw/openclaw</x:v>
      </x:c>
      <x:c r="C51" s="2" t="n">
        <x:v>77434</x:v>
      </x:c>
      <x:c r="D51" s="2" t="str">
        <x:v>C10</x:v>
      </x:c>
      <x:c r="E51" s="2" t="str">
        <x:v>F02</x:v>
      </x:c>
      <x:c r="F51" s="2" t="str">
        <x:v>F02</x:v>
      </x:c>
      <x:c r="G51" s="2" t="n">
        <x:f>IF(OR(E51="",F51=""),"",IF(E51=F51,1,0))</x:f>
        <x:v>1</x:v>
      </x:c>
    </x:row>
    <x:row r="52" ht="24" customHeight="1">
      <x:c r="A52" s="2" t="str">
        <x:v>R0036</x:v>
      </x:c>
      <x:c r="B52" s="2" t="str">
        <x:v>openclaw/openclaw</x:v>
      </x:c>
      <x:c r="C52" s="2" t="n">
        <x:v>43383</x:v>
      </x:c>
      <x:c r="D52" s="2" t="str">
        <x:v>C18</x:v>
      </x:c>
      <x:c r="E52" s="2" t="str">
        <x:v>U1</x:v>
      </x:c>
      <x:c r="F52" s="2" t="str">
        <x:v>U1</x:v>
      </x:c>
      <x:c r="G52" s="2" t="n">
        <x:f>IF(OR(E52="",F52=""),"",IF(E52=F52,1,0))</x:f>
        <x:v>1</x:v>
      </x:c>
    </x:row>
    <x:row r="53" ht="24" customHeight="1">
      <x:c r="A53" s="2" t="str">
        <x:v>R0009</x:v>
      </x:c>
      <x:c r="B53" s="2" t="str">
        <x:v>openclaw/openclaw</x:v>
      </x:c>
      <x:c r="C53" s="2" t="n">
        <x:v>10438</x:v>
      </x:c>
      <x:c r="D53" s="2" t="str">
        <x:v>C10</x:v>
      </x:c>
      <x:c r="E53" s="2" t="str">
        <x:v>F03</x:v>
      </x:c>
      <x:c r="F53" s="2" t="str">
        <x:v>F03</x:v>
      </x:c>
      <x:c r="G53" s="2" t="n">
        <x:f>IF(OR(E53="",F53=""),"",IF(E53=F53,1,0))</x:f>
        <x:v>1</x:v>
      </x:c>
    </x:row>
    <x:row r="54" ht="24" customHeight="1">
      <x:c r="A54" s="2" t="str">
        <x:v>R0103</x:v>
      </x:c>
      <x:c r="B54" s="2" t="str">
        <x:v>openclaw/openclaw</x:v>
      </x:c>
      <x:c r="C54" s="2" t="n">
        <x:v>92338</x:v>
      </x:c>
      <x:c r="D54" s="2" t="str">
        <x:v>C13</x:v>
      </x:c>
      <x:c r="E54" s="2" t="str">
        <x:v>F02</x:v>
      </x:c>
      <x:c r="F54" s="2" t="str">
        <x:v>F02</x:v>
      </x:c>
      <x:c r="G54" s="2" t="n">
        <x:f>IF(OR(E54="",F54=""),"",IF(E54=F54,1,0))</x:f>
        <x:v>1</x:v>
      </x:c>
    </x:row>
    <x:row r="55" ht="24" customHeight="1">
      <x:c r="A55" s="2" t="str">
        <x:v>R0106</x:v>
      </x:c>
      <x:c r="B55" s="2" t="str">
        <x:v>openclaw/openclaw</x:v>
      </x:c>
      <x:c r="C55" s="2" t="n">
        <x:v>99240</x:v>
      </x:c>
      <x:c r="D55" s="2" t="str">
        <x:v>C04</x:v>
      </x:c>
      <x:c r="E55" s="2" t="str">
        <x:v>F01</x:v>
      </x:c>
      <x:c r="F55" s="2" t="str">
        <x:v>F01</x:v>
      </x:c>
      <x:c r="G55" s="2" t="n">
        <x:f>IF(OR(E55="",F55=""),"",IF(E55=F55,1,0))</x:f>
        <x:v>1</x:v>
      </x:c>
    </x:row>
    <x:row r="56" ht="24" customHeight="1">
      <x:c r="A56" s="2" t="str">
        <x:v>R0164</x:v>
      </x:c>
      <x:c r="B56" s="2" t="str">
        <x:v>NousResearch/hermes-agent</x:v>
      </x:c>
      <x:c r="C56" s="2" t="n">
        <x:v>15759</x:v>
      </x:c>
      <x:c r="D56" s="2" t="str">
        <x:v>C10</x:v>
      </x:c>
      <x:c r="E56" s="2" t="str">
        <x:v>F03</x:v>
      </x:c>
      <x:c r="F56" s="2" t="str">
        <x:v>F03</x:v>
      </x:c>
      <x:c r="G56" s="2" t="n">
        <x:f>IF(OR(E56="",F56=""),"",IF(E56=F56,1,0))</x:f>
        <x:v>1</x:v>
      </x:c>
    </x:row>
    <x:row r="57" ht="24" customHeight="1">
      <x:c r="A57" s="2" t="str">
        <x:v>R0166</x:v>
      </x:c>
      <x:c r="B57" s="2" t="str">
        <x:v>NousResearch/hermes-agent</x:v>
      </x:c>
      <x:c r="C57" s="2" t="n">
        <x:v>16294</x:v>
      </x:c>
      <x:c r="D57" s="2" t="str">
        <x:v>C10</x:v>
      </x:c>
      <x:c r="E57" s="2" t="str">
        <x:v>F02</x:v>
      </x:c>
      <x:c r="F57" s="2" t="str">
        <x:v>F02</x:v>
      </x:c>
      <x:c r="G57" s="2" t="n">
        <x:f>IF(OR(E57="",F57=""),"",IF(E57=F57,1,0))</x:f>
        <x:v>1</x:v>
      </x:c>
    </x:row>
    <x:row r="58" ht="24" customHeight="1">
      <x:c r="A58" s="2" t="str">
        <x:v>R0176</x:v>
      </x:c>
      <x:c r="B58" s="2" t="str">
        <x:v>NousResearch/hermes-agent</x:v>
      </x:c>
      <x:c r="C58" s="2" t="n">
        <x:v>22357</x:v>
      </x:c>
      <x:c r="D58" s="2" t="str">
        <x:v>C06</x:v>
      </x:c>
      <x:c r="E58" s="2" t="str">
        <x:v>F02</x:v>
      </x:c>
      <x:c r="F58" s="2" t="str">
        <x:v>F02</x:v>
      </x:c>
      <x:c r="G58" s="2" t="n">
        <x:f>IF(OR(E58="",F58=""),"",IF(E58=F58,1,0))</x:f>
        <x:v>1</x:v>
      </x:c>
    </x:row>
    <x:row r="59" ht="24" customHeight="1">
      <x:c r="A59" s="2" t="str">
        <x:v>R0181</x:v>
      </x:c>
      <x:c r="B59" s="2" t="str">
        <x:v>NousResearch/hermes-agent</x:v>
      </x:c>
      <x:c r="C59" s="2" t="n">
        <x:v>24969</x:v>
      </x:c>
      <x:c r="D59" s="2" t="str">
        <x:v>C16</x:v>
      </x:c>
      <x:c r="E59" s="2" t="str">
        <x:v>F01</x:v>
      </x:c>
      <x:c r="F59" s="2" t="str">
        <x:v>F01</x:v>
      </x:c>
      <x:c r="G59" s="2" t="n">
        <x:f>IF(OR(E59="",F59=""),"",IF(E59=F59,1,0))</x:f>
        <x:v>1</x:v>
      </x:c>
    </x:row>
    <x:row r="60" ht="24" customHeight="1">
      <x:c r="A60" s="2" t="str">
        <x:v>R0234</x:v>
      </x:c>
      <x:c r="B60" s="2" t="str">
        <x:v>NousResearch/hermes-agent</x:v>
      </x:c>
      <x:c r="C60" s="2" t="n">
        <x:v>63530</x:v>
      </x:c>
      <x:c r="D60" s="2" t="str">
        <x:v>C06</x:v>
      </x:c>
      <x:c r="E60" s="2" t="str">
        <x:v>F02</x:v>
      </x:c>
      <x:c r="F60" s="2" t="str">
        <x:v>F02</x:v>
      </x:c>
      <x:c r="G60" s="2" t="n">
        <x:f>IF(OR(E60="",F60=""),"",IF(E60=F60,1,0))</x:f>
        <x:v>1</x:v>
      </x:c>
    </x:row>
    <x:row r="61" ht="24" customHeight="1">
      <x:c r="A61" s="2" t="str">
        <x:v>R0100</x:v>
      </x:c>
      <x:c r="B61" s="2" t="str">
        <x:v>openclaw/openclaw</x:v>
      </x:c>
      <x:c r="C61" s="2" t="n">
        <x:v>90640</x:v>
      </x:c>
      <x:c r="D61" s="2" t="str">
        <x:v>C23</x:v>
      </x:c>
      <x:c r="E61" s="2" t="str">
        <x:v>F02</x:v>
      </x:c>
      <x:c r="F61" s="2" t="str">
        <x:v>F02</x:v>
      </x:c>
      <x:c r="G61" s="2" t="n">
        <x:f>IF(OR(E61="",F61=""),"",IF(E61=F61,1,0))</x:f>
        <x:v>1</x:v>
      </x:c>
    </x:row>
    <x:row r="62" ht="24" customHeight="1">
      <x:c r="A62" s="2" t="str">
        <x:v>R0062</x:v>
      </x:c>
      <x:c r="B62" s="2" t="str">
        <x:v>openclaw/openclaw</x:v>
      </x:c>
      <x:c r="C62" s="2" t="n">
        <x:v>60879</x:v>
      </x:c>
      <x:c r="D62" s="2" t="str">
        <x:v>C21</x:v>
      </x:c>
      <x:c r="E62" s="2" t="str">
        <x:v>F04</x:v>
      </x:c>
      <x:c r="F62" s="2" t="str">
        <x:v>F04</x:v>
      </x:c>
      <x:c r="G62" s="2" t="n">
        <x:f>IF(OR(E62="",F62=""),"",IF(E62=F62,1,0))</x:f>
        <x:v>1</x:v>
      </x:c>
    </x:row>
    <x:row r="63" ht="24" customHeight="1">
      <x:c r="A63" s="2" t="str">
        <x:v>R0098</x:v>
      </x:c>
      <x:c r="B63" s="2" t="str">
        <x:v>openclaw/openclaw</x:v>
      </x:c>
      <x:c r="C63" s="2" t="n">
        <x:v>90578</x:v>
      </x:c>
      <x:c r="D63" s="2" t="str">
        <x:v>C20</x:v>
      </x:c>
      <x:c r="E63" s="2" t="str">
        <x:v>F02</x:v>
      </x:c>
      <x:c r="F63" s="2" t="str">
        <x:v>F02</x:v>
      </x:c>
      <x:c r="G63" s="2" t="n">
        <x:f>IF(OR(E63="",F63=""),"",IF(E63=F63,1,0))</x:f>
        <x:v>1</x:v>
      </x:c>
    </x:row>
    <x:row r="64" ht="24" customHeight="1">
      <x:c r="A64" s="2" t="str">
        <x:v>R0107</x:v>
      </x:c>
      <x:c r="B64" s="2" t="str">
        <x:v>openclaw/openclaw</x:v>
      </x:c>
      <x:c r="C64" s="2" t="n">
        <x:v>99434</x:v>
      </x:c>
      <x:c r="D64" s="2" t="str">
        <x:v>C01</x:v>
      </x:c>
      <x:c r="E64" s="2" t="str">
        <x:v>F01</x:v>
      </x:c>
      <x:c r="F64" s="2" t="str">
        <x:v>F01</x:v>
      </x:c>
      <x:c r="G64" s="2" t="n">
        <x:f>IF(OR(E64="",F64=""),"",IF(E64=F64,1,0))</x:f>
        <x:v>1</x:v>
      </x:c>
    </x:row>
    <x:row r="65" ht="24" customHeight="1">
      <x:c r="A65" s="2" t="str">
        <x:v>R0108</x:v>
      </x:c>
      <x:c r="B65" s="2" t="str">
        <x:v>openclaw/openclaw</x:v>
      </x:c>
      <x:c r="C65" s="2" t="n">
        <x:v>100250</x:v>
      </x:c>
      <x:c r="D65" s="2" t="str">
        <x:v>C19</x:v>
      </x:c>
      <x:c r="E65" s="2" t="str">
        <x:v>F02</x:v>
      </x:c>
      <x:c r="F65" s="2" t="str">
        <x:v>F02</x:v>
      </x:c>
      <x:c r="G65" s="2" t="n">
        <x:f>IF(OR(E65="",F65=""),"",IF(E65=F65,1,0))</x:f>
        <x:v>1</x:v>
      </x:c>
    </x:row>
    <x:row r="66" ht="24" customHeight="1">
      <x:c r="A66" s="2" t="str">
        <x:v>R0109</x:v>
      </x:c>
      <x:c r="B66" s="2" t="str">
        <x:v>openclaw/openclaw</x:v>
      </x:c>
      <x:c r="C66" s="2" t="n">
        <x:v>102508</x:v>
      </x:c>
      <x:c r="D66" s="2" t="str">
        <x:v>C16</x:v>
      </x:c>
      <x:c r="E66" s="2" t="str">
        <x:v>F02</x:v>
      </x:c>
      <x:c r="F66" s="2" t="str">
        <x:v>F02</x:v>
      </x:c>
      <x:c r="G66" s="2" t="n">
        <x:f>IF(OR(E66="",F66=""),"",IF(E66=F66,1,0))</x:f>
        <x:v>1</x:v>
      </x:c>
    </x:row>
    <x:row r="67" ht="24" customHeight="1">
      <x:c r="A67" s="2" t="str">
        <x:v>R0191</x:v>
      </x:c>
      <x:c r="B67" s="2" t="str">
        <x:v>NousResearch/hermes-agent</x:v>
      </x:c>
      <x:c r="C67" s="2" t="n">
        <x:v>31033</x:v>
      </x:c>
      <x:c r="D67" s="2" t="str">
        <x:v>C21</x:v>
      </x:c>
      <x:c r="E67" s="2" t="str">
        <x:v>F04</x:v>
      </x:c>
      <x:c r="F67" s="2" t="str">
        <x:v>F04</x:v>
      </x:c>
      <x:c r="G67" s="2" t="n">
        <x:f>IF(OR(E67="",F67=""),"",IF(E67=F67,1,0))</x:f>
        <x:v>1</x:v>
      </x:c>
    </x:row>
    <x:row r="68" ht="24" customHeight="1">
      <x:c r="A68" s="2" t="str">
        <x:v>R0190</x:v>
      </x:c>
      <x:c r="B68" s="2" t="str">
        <x:v>NousResearch/hermes-agent</x:v>
      </x:c>
      <x:c r="C68" s="2" t="n">
        <x:v>30966</x:v>
      </x:c>
      <x:c r="D68" s="2" t="str">
        <x:v>C11</x:v>
      </x:c>
      <x:c r="E68" s="2" t="str">
        <x:v>U1</x:v>
      </x:c>
      <x:c r="F68" s="2" t="str">
        <x:v>U1</x:v>
      </x:c>
      <x:c r="G68" s="2" t="n">
        <x:f>IF(OR(E68="",F68=""),"",IF(E68=F68,1,0))</x:f>
        <x:v>1</x:v>
      </x:c>
    </x:row>
    <x:row r="69" ht="24" customHeight="1">
      <x:c r="A69" s="2" t="str">
        <x:v>R0189</x:v>
      </x:c>
      <x:c r="B69" s="2" t="str">
        <x:v>NousResearch/hermes-agent</x:v>
      </x:c>
      <x:c r="C69" s="2" t="n">
        <x:v>30904</x:v>
      </x:c>
      <x:c r="D69" s="2" t="str">
        <x:v>C12</x:v>
      </x:c>
      <x:c r="E69" s="2" t="str">
        <x:v>F03</x:v>
      </x:c>
      <x:c r="F69" s="2" t="str">
        <x:v>F03</x:v>
      </x:c>
      <x:c r="G69" s="2" t="n">
        <x:f>IF(OR(E69="",F69=""),"",IF(E69=F69,1,0))</x:f>
        <x:v>1</x:v>
      </x:c>
    </x:row>
    <x:row r="70" ht="24" customHeight="1">
      <x:c r="A70" s="2" t="str">
        <x:v>R0188</x:v>
      </x:c>
      <x:c r="B70" s="2" t="str">
        <x:v>NousResearch/hermes-agent</x:v>
      </x:c>
      <x:c r="C70" s="2" t="n">
        <x:v>30896</x:v>
      </x:c>
      <x:c r="D70" s="2" t="str">
        <x:v>C24</x:v>
      </x:c>
      <x:c r="E70" s="2" t="str">
        <x:v>U1</x:v>
      </x:c>
      <x:c r="F70" s="2" t="str">
        <x:v>U1</x:v>
      </x:c>
      <x:c r="G70" s="2" t="n">
        <x:f>IF(OR(E70="",F70=""),"",IF(E70=F70,1,0))</x:f>
        <x:v>1</x:v>
      </x:c>
    </x:row>
    <x:row r="71" ht="24" customHeight="1">
      <x:c r="A71" s="2" t="str">
        <x:v>R0187</x:v>
      </x:c>
      <x:c r="B71" s="2" t="str">
        <x:v>NousResearch/hermes-agent</x:v>
      </x:c>
      <x:c r="C71" s="2" t="n">
        <x:v>30010</x:v>
      </x:c>
      <x:c r="D71" s="2" t="str">
        <x:v>C21</x:v>
      </x:c>
      <x:c r="E71" s="2" t="str">
        <x:v>F04</x:v>
      </x:c>
      <x:c r="F71" s="2" t="str">
        <x:v>F04</x:v>
      </x:c>
      <x:c r="G71" s="2" t="n">
        <x:f>IF(OR(E71="",F71=""),"",IF(E71=F71,1,0))</x:f>
        <x:v>1</x:v>
      </x:c>
    </x:row>
    <x:row r="72" ht="24" customHeight="1">
      <x:c r="A72" s="2" t="str">
        <x:v>R0186</x:v>
      </x:c>
      <x:c r="B72" s="2" t="str">
        <x:v>NousResearch/hermes-agent</x:v>
      </x:c>
      <x:c r="C72" s="2" t="n">
        <x:v>29015</x:v>
      </x:c>
      <x:c r="D72" s="2" t="str">
        <x:v>C16</x:v>
      </x:c>
      <x:c r="E72" s="2" t="str">
        <x:v>U1</x:v>
      </x:c>
      <x:c r="F72" s="2" t="str">
        <x:v>U1</x:v>
      </x:c>
      <x:c r="G72" s="2" t="n">
        <x:f>IF(OR(E72="",F72=""),"",IF(E72=F72,1,0))</x:f>
        <x:v>1</x:v>
      </x:c>
    </x:row>
    <x:row r="73" ht="24" customHeight="1">
      <x:c r="A73" s="2" t="str">
        <x:v>R0184</x:v>
      </x:c>
      <x:c r="B73" s="2" t="str">
        <x:v>NousResearch/hermes-agent</x:v>
      </x:c>
      <x:c r="C73" s="2" t="n">
        <x:v>27540</x:v>
      </x:c>
      <x:c r="D73" s="2" t="str">
        <x:v>C03</x:v>
      </x:c>
      <x:c r="E73" s="2" t="str">
        <x:v>F01</x:v>
      </x:c>
      <x:c r="F73" s="2" t="str">
        <x:v>F01</x:v>
      </x:c>
      <x:c r="G73" s="2" t="n">
        <x:f>IF(OR(E73="",F73=""),"",IF(E73=F73,1,0))</x:f>
        <x:v>1</x:v>
      </x:c>
    </x:row>
    <x:row r="74" ht="24" customHeight="1">
      <x:c r="A74" s="2" t="str">
        <x:v>R0183</x:v>
      </x:c>
      <x:c r="B74" s="2" t="str">
        <x:v>NousResearch/hermes-agent</x:v>
      </x:c>
      <x:c r="C74" s="2" t="n">
        <x:v>27145</x:v>
      </x:c>
      <x:c r="D74" s="2" t="str">
        <x:v>C10</x:v>
      </x:c>
      <x:c r="E74" s="2" t="str">
        <x:v>F02</x:v>
      </x:c>
      <x:c r="F74" s="2" t="str">
        <x:v>F02</x:v>
      </x:c>
      <x:c r="G74" s="2" t="n">
        <x:f>IF(OR(E74="",F74=""),"",IF(E74=F74,1,0))</x:f>
        <x:v>1</x:v>
      </x:c>
    </x:row>
    <x:row r="75" ht="24" customHeight="1">
      <x:c r="A75" s="2" t="str">
        <x:v>R0182</x:v>
      </x:c>
      <x:c r="B75" s="2" t="str">
        <x:v>NousResearch/hermes-agent</x:v>
      </x:c>
      <x:c r="C75" s="2" t="n">
        <x:v>26352</x:v>
      </x:c>
      <x:c r="D75" s="2" t="str">
        <x:v>C15</x:v>
      </x:c>
      <x:c r="E75" s="2" t="str">
        <x:v>F03</x:v>
      </x:c>
      <x:c r="F75" s="2" t="str">
        <x:v>F03</x:v>
      </x:c>
      <x:c r="G75" s="2" t="n">
        <x:f>IF(OR(E75="",F75=""),"",IF(E75=F75,1,0))</x:f>
        <x:v>1</x:v>
      </x:c>
    </x:row>
    <x:row r="76" ht="24" customHeight="1">
      <x:c r="A76" s="2" t="str">
        <x:v>R0180</x:v>
      </x:c>
      <x:c r="B76" s="2" t="str">
        <x:v>NousResearch/hermes-agent</x:v>
      </x:c>
      <x:c r="C76" s="2" t="n">
        <x:v>23402</x:v>
      </x:c>
      <x:c r="D76" s="2" t="str">
        <x:v>C17</x:v>
      </x:c>
      <x:c r="E76" s="2" t="str">
        <x:v>U1</x:v>
      </x:c>
      <x:c r="F76" s="2" t="str">
        <x:v>U1</x:v>
      </x:c>
      <x:c r="G76" s="2" t="n">
        <x:f>IF(OR(E76="",F76=""),"",IF(E76=F76,1,0))</x:f>
        <x:v>1</x:v>
      </x:c>
    </x:row>
    <x:row r="77" ht="24" customHeight="1">
      <x:c r="A77" s="2" t="str">
        <x:v>R0179</x:v>
      </x:c>
      <x:c r="B77" s="2" t="str">
        <x:v>NousResearch/hermes-agent</x:v>
      </x:c>
      <x:c r="C77" s="2" t="n">
        <x:v>22897</x:v>
      </x:c>
      <x:c r="D77" s="2" t="str">
        <x:v>C23</x:v>
      </x:c>
      <x:c r="E77" s="2" t="str">
        <x:v>F01</x:v>
      </x:c>
      <x:c r="F77" s="2" t="str">
        <x:v>F01</x:v>
      </x:c>
      <x:c r="G77" s="2" t="n">
        <x:f>IF(OR(E77="",F77=""),"",IF(E77=F77,1,0))</x:f>
        <x:v>1</x:v>
      </x:c>
    </x:row>
    <x:row r="78" ht="24" customHeight="1">
      <x:c r="A78" s="2" t="str">
        <x:v>R0178</x:v>
      </x:c>
      <x:c r="B78" s="2" t="str">
        <x:v>NousResearch/hermes-agent</x:v>
      </x:c>
      <x:c r="C78" s="2" t="n">
        <x:v>22761</x:v>
      </x:c>
      <x:c r="D78" s="2" t="str">
        <x:v>C24</x:v>
      </x:c>
      <x:c r="E78" s="2" t="str">
        <x:v>U1</x:v>
      </x:c>
      <x:c r="F78" s="2" t="str">
        <x:v>U1</x:v>
      </x:c>
      <x:c r="G78" s="2" t="n">
        <x:f>IF(OR(E78="",F78=""),"",IF(E78=F78,1,0))</x:f>
        <x:v>1</x:v>
      </x:c>
    </x:row>
    <x:row r="79" ht="24" customHeight="1">
      <x:c r="A79" s="2" t="str">
        <x:v>R0173</x:v>
      </x:c>
      <x:c r="B79" s="2" t="str">
        <x:v>NousResearch/hermes-agent</x:v>
      </x:c>
      <x:c r="C79" s="2" t="n">
        <x:v>18993</x:v>
      </x:c>
      <x:c r="D79" s="2" t="str">
        <x:v>C06</x:v>
      </x:c>
      <x:c r="E79" s="2" t="str">
        <x:v>F02</x:v>
      </x:c>
      <x:c r="F79" s="2" t="str">
        <x:v>F02</x:v>
      </x:c>
      <x:c r="G79" s="2" t="n">
        <x:f>IF(OR(E79="",F79=""),"",IF(E79=F79,1,0))</x:f>
        <x:v>1</x:v>
      </x:c>
    </x:row>
    <x:row r="80" ht="24" customHeight="1">
      <x:c r="A80" s="2" t="str">
        <x:v>R0171</x:v>
      </x:c>
      <x:c r="B80" s="2" t="str">
        <x:v>NousResearch/hermes-agent</x:v>
      </x:c>
      <x:c r="C80" s="2" t="n">
        <x:v>18373</x:v>
      </x:c>
      <x:c r="D80" s="2" t="str">
        <x:v>C21</x:v>
      </x:c>
      <x:c r="E80" s="2" t="str">
        <x:v>F02</x:v>
      </x:c>
      <x:c r="F80" s="2" t="str">
        <x:v>F02</x:v>
      </x:c>
      <x:c r="G80" s="2" t="n">
        <x:f>IF(OR(E80="",F80=""),"",IF(E80=F80,1,0))</x:f>
        <x:v>1</x:v>
      </x:c>
    </x:row>
    <x:row r="81" ht="24" customHeight="1">
      <x:c r="A81" s="2" t="str">
        <x:v>R0170</x:v>
      </x:c>
      <x:c r="B81" s="2" t="str">
        <x:v>NousResearch/hermes-agent</x:v>
      </x:c>
      <x:c r="C81" s="2" t="n">
        <x:v>17558</x:v>
      </x:c>
      <x:c r="D81" s="2" t="str">
        <x:v>C12</x:v>
      </x:c>
      <x:c r="E81" s="2" t="str">
        <x:v>F03</x:v>
      </x:c>
      <x:c r="F81" s="2" t="str">
        <x:v>F03</x:v>
      </x:c>
      <x:c r="G81" s="2" t="n">
        <x:f>IF(OR(E81="",F81=""),"",IF(E81=F81,1,0))</x:f>
        <x:v>1</x:v>
      </x:c>
    </x:row>
    <x:row r="82" ht="24" customHeight="1">
      <x:c r="A82" s="2" t="str">
        <x:v>R0169</x:v>
      </x:c>
      <x:c r="B82" s="2" t="str">
        <x:v>NousResearch/hermes-agent</x:v>
      </x:c>
      <x:c r="C82" s="2" t="n">
        <x:v>17182</x:v>
      </x:c>
      <x:c r="D82" s="2" t="str">
        <x:v>C21</x:v>
      </x:c>
      <x:c r="E82" s="2" t="str">
        <x:v>F02</x:v>
      </x:c>
      <x:c r="F82" s="2" t="str">
        <x:v>F01</x:v>
      </x:c>
      <x:c r="G82" s="2" t="n">
        <x:f>IF(OR(E82="",F82=""),"",IF(E82=F82,1,0))</x:f>
        <x:v>0</x:v>
      </x:c>
    </x:row>
    <x:row r="83" ht="24" customHeight="1">
      <x:c r="A83" s="2" t="str">
        <x:v>R0167</x:v>
      </x:c>
      <x:c r="B83" s="2" t="str">
        <x:v>NousResearch/hermes-agent</x:v>
      </x:c>
      <x:c r="C83" s="2" t="n">
        <x:v>16452</x:v>
      </x:c>
      <x:c r="D83" s="2" t="str">
        <x:v>C03</x:v>
      </x:c>
      <x:c r="E83" s="2" t="str">
        <x:v>F01</x:v>
      </x:c>
      <x:c r="F83" s="2" t="str">
        <x:v>F01</x:v>
      </x:c>
      <x:c r="G83" s="2" t="n">
        <x:f>IF(OR(E83="",F83=""),"",IF(E83=F83,1,0))</x:f>
        <x:v>1</x:v>
      </x:c>
    </x:row>
    <x:row r="84" ht="24" customHeight="1">
      <x:c r="A84" s="2" t="str">
        <x:v>R0165</x:v>
      </x:c>
      <x:c r="B84" s="2" t="str">
        <x:v>NousResearch/hermes-agent</x:v>
      </x:c>
      <x:c r="C84" s="2" t="n">
        <x:v>16094</x:v>
      </x:c>
      <x:c r="D84" s="2" t="str">
        <x:v>C10</x:v>
      </x:c>
      <x:c r="E84" s="2" t="str">
        <x:v>F02</x:v>
      </x:c>
      <x:c r="F84" s="2" t="str">
        <x:v>F02</x:v>
      </x:c>
      <x:c r="G84" s="2" t="n">
        <x:f>IF(OR(E84="",F84=""),"",IF(E84=F84,1,0))</x:f>
        <x:v>1</x:v>
      </x:c>
    </x:row>
    <x:row r="85" ht="24" customHeight="1">
      <x:c r="A85" s="2" t="str">
        <x:v>R0163</x:v>
      </x:c>
      <x:c r="B85" s="2" t="str">
        <x:v>NousResearch/hermes-agent</x:v>
      </x:c>
      <x:c r="C85" s="2" t="n">
        <x:v>14603</x:v>
      </x:c>
      <x:c r="D85" s="2" t="str">
        <x:v>C08</x:v>
      </x:c>
      <x:c r="E85" s="2" t="str">
        <x:v>U1</x:v>
      </x:c>
      <x:c r="F85" s="2" t="str">
        <x:v>U1</x:v>
      </x:c>
      <x:c r="G85" s="2" t="n">
        <x:f>IF(OR(E85="",F85=""),"",IF(E85=F85,1,0))</x:f>
        <x:v>1</x:v>
      </x:c>
    </x:row>
    <x:row r="86" ht="24" customHeight="1">
      <x:c r="A86" s="2" t="str">
        <x:v>R0158</x:v>
      </x:c>
      <x:c r="B86" s="2" t="str">
        <x:v>NousResearch/hermes-agent</x:v>
      </x:c>
      <x:c r="C86" s="2" t="n">
        <x:v>13026</x:v>
      </x:c>
      <x:c r="D86" s="2" t="str">
        <x:v>C12</x:v>
      </x:c>
      <x:c r="E86" s="2" t="str">
        <x:v>F03</x:v>
      </x:c>
      <x:c r="F86" s="2" t="str">
        <x:v>F03</x:v>
      </x:c>
      <x:c r="G86" s="2" t="n">
        <x:f>IF(OR(E86="",F86=""),"",IF(E86=F86,1,0))</x:f>
        <x:v>1</x:v>
      </x:c>
    </x:row>
    <x:row r="87" ht="24" customHeight="1">
      <x:c r="A87" s="2" t="str">
        <x:v>R0157</x:v>
      </x:c>
      <x:c r="B87" s="2" t="str">
        <x:v>NousResearch/hermes-agent</x:v>
      </x:c>
      <x:c r="C87" s="2" t="n">
        <x:v>11200</x:v>
      </x:c>
      <x:c r="D87" s="2" t="str">
        <x:v>C13</x:v>
      </x:c>
      <x:c r="E87" s="2" t="str">
        <x:v>F03</x:v>
      </x:c>
      <x:c r="F87" s="2" t="str">
        <x:v>F03</x:v>
      </x:c>
      <x:c r="G87" s="2" t="n">
        <x:f>IF(OR(E87="",F87=""),"",IF(E87=F87,1,0))</x:f>
        <x:v>1</x:v>
      </x:c>
    </x:row>
    <x:row r="88" ht="24" customHeight="1">
      <x:c r="A88" s="2" t="str">
        <x:v>R0153</x:v>
      </x:c>
      <x:c r="B88" s="2" t="str">
        <x:v>NousResearch/hermes-agent</x:v>
      </x:c>
      <x:c r="C88" s="2" t="n">
        <x:v>8487</x:v>
      </x:c>
      <x:c r="D88" s="2" t="str">
        <x:v>C10</x:v>
      </x:c>
      <x:c r="E88" s="2" t="str">
        <x:v>U1</x:v>
      </x:c>
      <x:c r="F88" s="2" t="str">
        <x:v>U1</x:v>
      </x:c>
      <x:c r="G88" s="2" t="n">
        <x:f>IF(OR(E88="",F88=""),"",IF(E88=F88,1,0))</x:f>
        <x:v>1</x:v>
      </x:c>
    </x:row>
    <x:row r="89" ht="24" customHeight="1">
      <x:c r="A89" s="2" t="str">
        <x:v>R0151</x:v>
      </x:c>
      <x:c r="B89" s="2" t="str">
        <x:v>NousResearch/hermes-agent</x:v>
      </x:c>
      <x:c r="C89" s="2" t="n">
        <x:v>7968</x:v>
      </x:c>
      <x:c r="D89" s="2" t="str">
        <x:v>C10</x:v>
      </x:c>
      <x:c r="E89" s="2" t="str">
        <x:v>F02</x:v>
      </x:c>
      <x:c r="F89" s="2" t="str">
        <x:v>F03</x:v>
      </x:c>
      <x:c r="G89" s="2" t="n">
        <x:f>IF(OR(E89="",F89=""),"",IF(E89=F89,1,0))</x:f>
        <x:v>0</x:v>
      </x:c>
    </x:row>
    <x:row r="90" ht="24" customHeight="1">
      <x:c r="A90" s="2" t="str">
        <x:v>R0149</x:v>
      </x:c>
      <x:c r="B90" s="2" t="str">
        <x:v>NousResearch/hermes-agent</x:v>
      </x:c>
      <x:c r="C90" s="2" t="n">
        <x:v>7072</x:v>
      </x:c>
      <x:c r="D90" s="2" t="str">
        <x:v>C15</x:v>
      </x:c>
      <x:c r="E90" s="2" t="str">
        <x:v>F03</x:v>
      </x:c>
      <x:c r="F90" s="2" t="str">
        <x:v>F03</x:v>
      </x:c>
      <x:c r="G90" s="2" t="n">
        <x:f>IF(OR(E90="",F90=""),"",IF(E90=F90,1,0))</x:f>
        <x:v>1</x:v>
      </x:c>
    </x:row>
    <x:row r="91" ht="24" customHeight="1">
      <x:c r="A91" s="2" t="str">
        <x:v>R0148</x:v>
      </x:c>
      <x:c r="B91" s="2" t="str">
        <x:v>NousResearch/hermes-agent</x:v>
      </x:c>
      <x:c r="C91" s="2" t="n">
        <x:v>6582</x:v>
      </x:c>
      <x:c r="D91" s="2" t="str">
        <x:v>C20</x:v>
      </x:c>
      <x:c r="E91" s="2" t="str">
        <x:v>F03</x:v>
      </x:c>
      <x:c r="F91" s="2" t="str">
        <x:v>F02</x:v>
      </x:c>
      <x:c r="G91" s="2" t="n">
        <x:f>IF(OR(E91="",F91=""),"",IF(E91=F91,1,0))</x:f>
        <x:v>0</x:v>
      </x:c>
    </x:row>
    <x:row r="92" ht="24" customHeight="1">
      <x:c r="A92" s="2" t="str">
        <x:v>R0147</x:v>
      </x:c>
      <x:c r="B92" s="2" t="str">
        <x:v>NousResearch/hermes-agent</x:v>
      </x:c>
      <x:c r="C92" s="2" t="n">
        <x:v>6035</x:v>
      </x:c>
      <x:c r="D92" s="2" t="str">
        <x:v>C20</x:v>
      </x:c>
      <x:c r="E92" s="2" t="str">
        <x:v>F04</x:v>
      </x:c>
      <x:c r="F92" s="2" t="str">
        <x:v>F04</x:v>
      </x:c>
      <x:c r="G92" s="2" t="n">
        <x:f>IF(OR(E92="",F92=""),"",IF(E92=F92,1,0))</x:f>
        <x:v>1</x:v>
      </x:c>
    </x:row>
    <x:row r="93" ht="24" customHeight="1">
      <x:c r="A93" s="2" t="str">
        <x:v>R0144</x:v>
      </x:c>
      <x:c r="B93" s="2" t="str">
        <x:v>NousResearch/hermes-agent</x:v>
      </x:c>
      <x:c r="C93" s="2" t="n">
        <x:v>5128</x:v>
      </x:c>
      <x:c r="D93" s="2" t="str">
        <x:v>C12</x:v>
      </x:c>
      <x:c r="E93" s="2" t="str">
        <x:v>F03</x:v>
      </x:c>
      <x:c r="F93" s="2" t="str">
        <x:v>F03</x:v>
      </x:c>
      <x:c r="G93" s="2" t="n">
        <x:f>IF(OR(E93="",F93=""),"",IF(E93=F93,1,0))</x:f>
        <x:v>1</x:v>
      </x:c>
    </x:row>
    <x:row r="94" ht="24" customHeight="1">
      <x:c r="A94" s="2" t="str">
        <x:v>R0115</x:v>
      </x:c>
      <x:c r="B94" s="2" t="str">
        <x:v>openclaw/openclaw</x:v>
      </x:c>
      <x:c r="C94" s="2" t="n">
        <x:v>108432</x:v>
      </x:c>
      <x:c r="D94" s="2" t="str">
        <x:v>C01</x:v>
      </x:c>
      <x:c r="E94" s="2" t="str">
        <x:v>F01</x:v>
      </x:c>
      <x:c r="F94" s="2" t="str">
        <x:v>F01</x:v>
      </x:c>
      <x:c r="G94" s="2" t="n">
        <x:f>IF(OR(E94="",F94=""),"",IF(E94=F94,1,0))</x:f>
        <x:v>1</x:v>
      </x:c>
    </x:row>
    <x:row r="95" ht="24" customHeight="1">
      <x:c r="A95" s="2" t="str">
        <x:v>R0139</x:v>
      </x:c>
      <x:c r="B95" s="2" t="str">
        <x:v>NousResearch/hermes-agent</x:v>
      </x:c>
      <x:c r="C95" s="2" t="n">
        <x:v>2940</x:v>
      </x:c>
      <x:c r="D95" s="2" t="str">
        <x:v>C01</x:v>
      </x:c>
      <x:c r="E95" s="2" t="str">
        <x:v>F04</x:v>
      </x:c>
      <x:c r="F95" s="2" t="str">
        <x:v>F04</x:v>
      </x:c>
      <x:c r="G95" s="2" t="n">
        <x:f>IF(OR(E95="",F95=""),"",IF(E95=F95,1,0))</x:f>
        <x:v>1</x:v>
      </x:c>
    </x:row>
    <x:row r="96" ht="24" customHeight="1">
      <x:c r="A96" s="2" t="str">
        <x:v>R0138</x:v>
      </x:c>
      <x:c r="B96" s="2" t="str">
        <x:v>NousResearch/hermes-agent</x:v>
      </x:c>
      <x:c r="C96" s="2" t="n">
        <x:v>2338</x:v>
      </x:c>
      <x:c r="D96" s="2" t="str">
        <x:v>C11</x:v>
      </x:c>
      <x:c r="E96" s="2" t="str">
        <x:v>U1</x:v>
      </x:c>
      <x:c r="F96" s="2" t="str">
        <x:v>U1</x:v>
      </x:c>
      <x:c r="G96" s="2" t="n">
        <x:f>IF(OR(E96="",F96=""),"",IF(E96=F96,1,0))</x:f>
        <x:v>1</x:v>
      </x:c>
    </x:row>
    <x:row r="97" ht="24" customHeight="1">
      <x:c r="A97" s="2" t="str">
        <x:v>R0137</x:v>
      </x:c>
      <x:c r="B97" s="2" t="str">
        <x:v>NousResearch/hermes-agent</x:v>
      </x:c>
      <x:c r="C97" s="2" t="n">
        <x:v>2066</x:v>
      </x:c>
      <x:c r="D97" s="2" t="str">
        <x:v>C23</x:v>
      </x:c>
      <x:c r="E97" s="2" t="str">
        <x:v>F01</x:v>
      </x:c>
      <x:c r="F97" s="2" t="str">
        <x:v>F01</x:v>
      </x:c>
      <x:c r="G97" s="2" t="n">
        <x:f>IF(OR(E97="",F97=""),"",IF(E97=F97,1,0))</x:f>
        <x:v>1</x:v>
      </x:c>
    </x:row>
    <x:row r="98" ht="24" customHeight="1">
      <x:c r="A98" s="2" t="str">
        <x:v>R0135</x:v>
      </x:c>
      <x:c r="B98" s="2" t="str">
        <x:v>NousResearch/hermes-agent</x:v>
      </x:c>
      <x:c r="C98" s="2" t="n">
        <x:v>1093</x:v>
      </x:c>
      <x:c r="D98" s="2" t="str">
        <x:v>C06</x:v>
      </x:c>
      <x:c r="E98" s="2" t="str">
        <x:v>F01</x:v>
      </x:c>
      <x:c r="F98" s="2" t="str">
        <x:v>F01</x:v>
      </x:c>
      <x:c r="G98" s="2" t="n">
        <x:f>IF(OR(E98="",F98=""),"",IF(E98=F98,1,0))</x:f>
        <x:v>1</x:v>
      </x:c>
    </x:row>
    <x:row r="99" ht="24" customHeight="1">
      <x:c r="A99" s="2" t="str">
        <x:v>R0134</x:v>
      </x:c>
      <x:c r="B99" s="2" t="str">
        <x:v>NousResearch/hermes-agent</x:v>
      </x:c>
      <x:c r="C99" s="2" t="n">
        <x:v>630</x:v>
      </x:c>
      <x:c r="D99" s="2" t="str">
        <x:v>C09</x:v>
      </x:c>
      <x:c r="E99" s="2" t="str">
        <x:v>F03</x:v>
      </x:c>
      <x:c r="F99" s="2" t="str">
        <x:v>F03</x:v>
      </x:c>
      <x:c r="G99" s="2" t="n">
        <x:f>IF(OR(E99="",F99=""),"",IF(E99=F99,1,0))</x:f>
        <x:v>1</x:v>
      </x:c>
    </x:row>
    <x:row r="100" ht="24" customHeight="1">
      <x:c r="A100" s="2" t="str">
        <x:v>R0132</x:v>
      </x:c>
      <x:c r="B100" s="2" t="str">
        <x:v>NousResearch/hermes-agent</x:v>
      </x:c>
      <x:c r="C100" s="2" t="n">
        <x:v>487</x:v>
      </x:c>
      <x:c r="D100" s="2" t="str">
        <x:v>C24</x:v>
      </x:c>
      <x:c r="E100" s="2" t="str">
        <x:v>U1</x:v>
      </x:c>
      <x:c r="F100" s="2" t="str">
        <x:v>U1</x:v>
      </x:c>
      <x:c r="G100" s="2" t="n">
        <x:f>IF(OR(E100="",F100=""),"",IF(E100=F100,1,0))</x:f>
        <x:v>1</x:v>
      </x:c>
    </x:row>
    <x:row r="101" ht="24" customHeight="1">
      <x:c r="A101" s="2" t="str">
        <x:v>R0131</x:v>
      </x:c>
      <x:c r="B101" s="2" t="str">
        <x:v>NousResearch/hermes-agent</x:v>
      </x:c>
      <x:c r="C101" s="2" t="n">
        <x:v>387</x:v>
      </x:c>
      <x:c r="D101" s="2" t="str">
        <x:v>C15</x:v>
      </x:c>
      <x:c r="E101" s="2" t="str">
        <x:v>F03</x:v>
      </x:c>
      <x:c r="F101" s="2" t="str">
        <x:v>F03</x:v>
      </x:c>
      <x:c r="G101" s="2" t="n">
        <x:f>IF(OR(E101="",F101=""),"",IF(E101=F101,1,0))</x:f>
        <x:v>1</x:v>
      </x:c>
    </x:row>
    <x:row r="102" ht="24" customHeight="1">
      <x:c r="A102" s="2" t="str">
        <x:v>R0005</x:v>
      </x:c>
      <x:c r="B102" s="2" t="str">
        <x:v>openclaw/openclaw</x:v>
      </x:c>
      <x:c r="C102" s="2" t="n">
        <x:v>7211</x:v>
      </x:c>
      <x:c r="D102" s="2" t="str">
        <x:v>C16</x:v>
      </x:c>
      <x:c r="E102" s="2" t="str">
        <x:v>F03</x:v>
      </x:c>
      <x:c r="F102" s="2" t="str">
        <x:v>F03</x:v>
      </x:c>
      <x:c r="G102" s="2" t="n">
        <x:f>IF(OR(E102="",F102=""),"",IF(E102=F102,1,0))</x:f>
        <x:v>1</x:v>
      </x:c>
    </x:row>
    <x:row r="103" ht="24" customHeight="1">
      <x:c r="A103" s="2" t="str">
        <x:v>R0007</x:v>
      </x:c>
      <x:c r="B103" s="2" t="str">
        <x:v>openclaw/openclaw</x:v>
      </x:c>
      <x:c r="C103" s="2" t="n">
        <x:v>8460</x:v>
      </x:c>
      <x:c r="D103" s="2" t="str">
        <x:v>C16</x:v>
      </x:c>
      <x:c r="E103" s="2" t="str">
        <x:v>F02</x:v>
      </x:c>
      <x:c r="F103" s="2" t="str">
        <x:v>F01</x:v>
      </x:c>
      <x:c r="G103" s="2" t="n">
        <x:f>IF(OR(E103="",F103=""),"",IF(E103=F103,1,0))</x:f>
        <x:v>0</x:v>
      </x:c>
    </x:row>
    <x:row r="104" ht="24" customHeight="1">
      <x:c r="A104" s="2" t="str">
        <x:v>R0010</x:v>
      </x:c>
      <x:c r="B104" s="2" t="str">
        <x:v>openclaw/openclaw</x:v>
      </x:c>
      <x:c r="C104" s="2" t="n">
        <x:v>12674</x:v>
      </x:c>
      <x:c r="D104" s="2" t="str">
        <x:v>C13</x:v>
      </x:c>
      <x:c r="E104" s="2" t="str">
        <x:v>F03</x:v>
      </x:c>
      <x:c r="F104" s="2" t="str">
        <x:v>F03</x:v>
      </x:c>
      <x:c r="G104" s="2" t="n">
        <x:f>IF(OR(E104="",F104=""),"",IF(E104=F104,1,0))</x:f>
        <x:v>1</x:v>
      </x:c>
    </x:row>
    <x:row r="105" ht="24" customHeight="1">
      <x:c r="A105" s="2" t="str">
        <x:v>R0011</x:v>
      </x:c>
      <x:c r="B105" s="2" t="str">
        <x:v>openclaw/openclaw</x:v>
      </x:c>
      <x:c r="C105" s="2" t="n">
        <x:v>14324</x:v>
      </x:c>
      <x:c r="D105" s="2" t="str">
        <x:v>C10</x:v>
      </x:c>
      <x:c r="E105" s="2" t="str">
        <x:v>F03</x:v>
      </x:c>
      <x:c r="F105" s="2" t="str">
        <x:v>F03</x:v>
      </x:c>
      <x:c r="G105" s="2" t="n">
        <x:f>IF(OR(E105="",F105=""),"",IF(E105=F105,1,0))</x:f>
        <x:v>1</x:v>
      </x:c>
    </x:row>
    <x:row r="106" ht="24" customHeight="1">
      <x:c r="A106" s="2" t="str">
        <x:v>R0012</x:v>
      </x:c>
      <x:c r="B106" s="2" t="str">
        <x:v>openclaw/openclaw</x:v>
      </x:c>
      <x:c r="C106" s="2" t="n">
        <x:v>16927</x:v>
      </x:c>
      <x:c r="D106" s="2" t="str">
        <x:v>C10</x:v>
      </x:c>
      <x:c r="E106" s="2" t="str">
        <x:v>F02</x:v>
      </x:c>
      <x:c r="F106" s="2" t="str">
        <x:v>F02</x:v>
      </x:c>
      <x:c r="G106" s="2" t="n">
        <x:f>IF(OR(E106="",F106=""),"",IF(E106=F106,1,0))</x:f>
        <x:v>1</x:v>
      </x:c>
    </x:row>
    <x:row r="107" ht="24" customHeight="1">
      <x:c r="A107" s="2" t="str">
        <x:v>R0013</x:v>
      </x:c>
      <x:c r="B107" s="2" t="str">
        <x:v>openclaw/openclaw</x:v>
      </x:c>
      <x:c r="C107" s="2" t="n">
        <x:v>17358</x:v>
      </x:c>
      <x:c r="D107" s="2" t="str">
        <x:v>C05</x:v>
      </x:c>
      <x:c r="E107" s="2" t="str">
        <x:v>F02</x:v>
      </x:c>
      <x:c r="F107" s="2" t="str">
        <x:v>F02</x:v>
      </x:c>
      <x:c r="G107" s="2" t="n">
        <x:f>IF(OR(E107="",F107=""),"",IF(E107=F107,1,0))</x:f>
        <x:v>1</x:v>
      </x:c>
    </x:row>
    <x:row r="108" ht="24" customHeight="1">
      <x:c r="A108" s="2" t="str">
        <x:v>R0015</x:v>
      </x:c>
      <x:c r="B108" s="2" t="str">
        <x:v>openclaw/openclaw</x:v>
      </x:c>
      <x:c r="C108" s="2" t="n">
        <x:v>19312</x:v>
      </x:c>
      <x:c r="D108" s="2" t="str">
        <x:v>C21</x:v>
      </x:c>
      <x:c r="E108" s="2" t="str">
        <x:v>F04</x:v>
      </x:c>
      <x:c r="F108" s="2" t="str">
        <x:v>F04</x:v>
      </x:c>
      <x:c r="G108" s="2" t="n">
        <x:f>IF(OR(E108="",F108=""),"",IF(E108=F108,1,0))</x:f>
        <x:v>1</x:v>
      </x:c>
    </x:row>
    <x:row r="109" ht="24" customHeight="1">
      <x:c r="A109" s="2" t="str">
        <x:v>R0016</x:v>
      </x:c>
      <x:c r="B109" s="2" t="str">
        <x:v>openclaw/openclaw</x:v>
      </x:c>
      <x:c r="C109" s="2" t="n">
        <x:v>20320</x:v>
      </x:c>
      <x:c r="D109" s="2" t="str">
        <x:v>C18</x:v>
      </x:c>
      <x:c r="E109" s="2" t="str">
        <x:v>F01</x:v>
      </x:c>
      <x:c r="F109" s="2" t="str">
        <x:v>F01</x:v>
      </x:c>
      <x:c r="G109" s="2" t="n">
        <x:f>IF(OR(E109="",F109=""),"",IF(E109=F109,1,0))</x:f>
        <x:v>1</x:v>
      </x:c>
    </x:row>
    <x:row r="110" ht="24" customHeight="1">
      <x:c r="A110" s="2" t="str">
        <x:v>R0023</x:v>
      </x:c>
      <x:c r="B110" s="2" t="str">
        <x:v>openclaw/openclaw</x:v>
      </x:c>
      <x:c r="C110" s="2" t="n">
        <x:v>27456</x:v>
      </x:c>
      <x:c r="D110" s="2" t="str">
        <x:v>C20</x:v>
      </x:c>
      <x:c r="E110" s="2" t="str">
        <x:v>F03</x:v>
      </x:c>
      <x:c r="F110" s="2" t="str">
        <x:v>F03</x:v>
      </x:c>
      <x:c r="G110" s="2" t="n">
        <x:f>IF(OR(E110="",F110=""),"",IF(E110=F110,1,0))</x:f>
        <x:v>1</x:v>
      </x:c>
    </x:row>
    <x:row r="111" ht="24" customHeight="1">
      <x:c r="A111" s="2" t="str">
        <x:v>R0028</x:v>
      </x:c>
      <x:c r="B111" s="2" t="str">
        <x:v>openclaw/openclaw</x:v>
      </x:c>
      <x:c r="C111" s="2" t="n">
        <x:v>35248</x:v>
      </x:c>
      <x:c r="D111" s="2" t="str">
        <x:v>C11</x:v>
      </x:c>
      <x:c r="E111" s="2" t="str">
        <x:v>F03</x:v>
      </x:c>
      <x:c r="F111" s="2" t="str">
        <x:v>F03</x:v>
      </x:c>
      <x:c r="G111" s="2" t="n">
        <x:f>IF(OR(E111="",F111=""),"",IF(E111=F111,1,0))</x:f>
        <x:v>1</x:v>
      </x:c>
    </x:row>
    <x:row r="112" ht="24" customHeight="1">
      <x:c r="A112" s="2" t="str">
        <x:v>R0031</x:v>
      </x:c>
      <x:c r="B112" s="2" t="str">
        <x:v>openclaw/openclaw</x:v>
      </x:c>
      <x:c r="C112" s="2" t="n">
        <x:v>40845</x:v>
      </x:c>
      <x:c r="D112" s="2" t="str">
        <x:v>C13</x:v>
      </x:c>
      <x:c r="E112" s="2" t="str">
        <x:v>F02</x:v>
      </x:c>
      <x:c r="F112" s="2" t="str">
        <x:v>F03</x:v>
      </x:c>
      <x:c r="G112" s="2" t="n">
        <x:f>IF(OR(E112="",F112=""),"",IF(E112=F112,1,0))</x:f>
        <x:v>0</x:v>
      </x:c>
    </x:row>
    <x:row r="113" ht="24" customHeight="1">
      <x:c r="A113" s="2" t="str">
        <x:v>R0035</x:v>
      </x:c>
      <x:c r="B113" s="2" t="str">
        <x:v>openclaw/openclaw</x:v>
      </x:c>
      <x:c r="C113" s="2" t="n">
        <x:v>42471</x:v>
      </x:c>
      <x:c r="D113" s="2" t="str">
        <x:v>C03</x:v>
      </x:c>
      <x:c r="E113" s="2" t="str">
        <x:v>F02</x:v>
      </x:c>
      <x:c r="F113" s="2" t="str">
        <x:v>F02</x:v>
      </x:c>
      <x:c r="G113" s="2" t="n">
        <x:f>IF(OR(E113="",F113=""),"",IF(E113=F113,1,0))</x:f>
        <x:v>1</x:v>
      </x:c>
    </x:row>
    <x:row r="114" ht="24" customHeight="1">
      <x:c r="A114" s="2" t="str">
        <x:v>R0043</x:v>
      </x:c>
      <x:c r="B114" s="2" t="str">
        <x:v>openclaw/openclaw</x:v>
      </x:c>
      <x:c r="C114" s="2" t="n">
        <x:v>49074</x:v>
      </x:c>
      <x:c r="D114" s="2" t="str">
        <x:v>C16</x:v>
      </x:c>
      <x:c r="E114" s="2" t="str">
        <x:v>F02</x:v>
      </x:c>
      <x:c r="F114" s="2" t="str">
        <x:v>F01</x:v>
      </x:c>
      <x:c r="G114" s="2" t="n">
        <x:f>IF(OR(E114="",F114=""),"",IF(E114=F114,1,0))</x:f>
        <x:v>0</x:v>
      </x:c>
    </x:row>
    <x:row r="115" ht="24" customHeight="1">
      <x:c r="A115" s="2" t="str">
        <x:v>R0046</x:v>
      </x:c>
      <x:c r="B115" s="2" t="str">
        <x:v>openclaw/openclaw</x:v>
      </x:c>
      <x:c r="C115" s="2" t="n">
        <x:v>52973</x:v>
      </x:c>
      <x:c r="D115" s="2" t="str">
        <x:v>C19</x:v>
      </x:c>
      <x:c r="E115" s="2" t="str">
        <x:v>F01</x:v>
      </x:c>
      <x:c r="F115" s="2" t="str">
        <x:v>F01</x:v>
      </x:c>
      <x:c r="G115" s="2" t="n">
        <x:f>IF(OR(E115="",F115=""),"",IF(E115=F115,1,0))</x:f>
        <x:v>1</x:v>
      </x:c>
    </x:row>
    <x:row r="116" ht="24" customHeight="1">
      <x:c r="A116" s="2" t="str">
        <x:v>R0047</x:v>
      </x:c>
      <x:c r="B116" s="2" t="str">
        <x:v>openclaw/openclaw</x:v>
      </x:c>
      <x:c r="C116" s="2" t="n">
        <x:v>53202</x:v>
      </x:c>
      <x:c r="D116" s="2" t="str">
        <x:v>C11</x:v>
      </x:c>
      <x:c r="E116" s="2" t="str">
        <x:v>F02</x:v>
      </x:c>
      <x:c r="F116" s="2" t="str">
        <x:v>F02</x:v>
      </x:c>
      <x:c r="G116" s="2" t="n">
        <x:f>IF(OR(E116="",F116=""),"",IF(E116=F116,1,0))</x:f>
        <x:v>1</x:v>
      </x:c>
    </x:row>
    <x:row r="117" ht="24" customHeight="1">
      <x:c r="A117" s="2" t="str">
        <x:v>R0048</x:v>
      </x:c>
      <x:c r="B117" s="2" t="str">
        <x:v>openclaw/openclaw</x:v>
      </x:c>
      <x:c r="C117" s="2" t="n">
        <x:v>53424</x:v>
      </x:c>
      <x:c r="D117" s="2" t="str">
        <x:v>C21</x:v>
      </x:c>
      <x:c r="E117" s="2" t="str">
        <x:v>F04</x:v>
      </x:c>
      <x:c r="F117" s="2" t="str">
        <x:v>F04</x:v>
      </x:c>
      <x:c r="G117" s="2" t="n">
        <x:f>IF(OR(E117="",F117=""),"",IF(E117=F117,1,0))</x:f>
        <x:v>1</x:v>
      </x:c>
    </x:row>
    <x:row r="118" ht="24" customHeight="1">
      <x:c r="A118" s="2" t="str">
        <x:v>R0049</x:v>
      </x:c>
      <x:c r="B118" s="2" t="str">
        <x:v>openclaw/openclaw</x:v>
      </x:c>
      <x:c r="C118" s="2" t="n">
        <x:v>53497</x:v>
      </x:c>
      <x:c r="D118" s="2" t="str">
        <x:v>C19</x:v>
      </x:c>
      <x:c r="E118" s="2" t="str">
        <x:v>F01</x:v>
      </x:c>
      <x:c r="F118" s="2" t="str">
        <x:v>F01</x:v>
      </x:c>
      <x:c r="G118" s="2" t="n">
        <x:f>IF(OR(E118="",F118=""),"",IF(E118=F118,1,0))</x:f>
        <x:v>1</x:v>
      </x:c>
    </x:row>
    <x:row r="119" ht="24" customHeight="1">
      <x:c r="A119" s="2" t="str">
        <x:v>R0050</x:v>
      </x:c>
      <x:c r="B119" s="2" t="str">
        <x:v>openclaw/openclaw</x:v>
      </x:c>
      <x:c r="C119" s="2" t="n">
        <x:v>54428</x:v>
      </x:c>
      <x:c r="D119" s="2" t="str">
        <x:v>C17</x:v>
      </x:c>
      <x:c r="E119" s="2" t="str">
        <x:v>F04</x:v>
      </x:c>
      <x:c r="F119" s="2" t="str">
        <x:v>F04</x:v>
      </x:c>
      <x:c r="G119" s="2" t="n">
        <x:f>IF(OR(E119="",F119=""),"",IF(E119=F119,1,0))</x:f>
        <x:v>1</x:v>
      </x:c>
    </x:row>
    <x:row r="120" ht="24" customHeight="1">
      <x:c r="A120" s="2" t="str">
        <x:v>R0051</x:v>
      </x:c>
      <x:c r="B120" s="2" t="str">
        <x:v>openclaw/openclaw</x:v>
      </x:c>
      <x:c r="C120" s="2" t="n">
        <x:v>54629</x:v>
      </x:c>
      <x:c r="D120" s="2" t="str">
        <x:v>C13</x:v>
      </x:c>
      <x:c r="E120" s="2" t="str">
        <x:v>F02</x:v>
      </x:c>
      <x:c r="F120" s="2" t="str">
        <x:v>F02</x:v>
      </x:c>
      <x:c r="G120" s="2" t="n">
        <x:f>IF(OR(E120="",F120=""),"",IF(E120=F120,1,0))</x:f>
        <x:v>1</x:v>
      </x:c>
    </x:row>
    <x:row r="121" ht="24" customHeight="1">
      <x:c r="A121" s="2" t="str">
        <x:v>R0052</x:v>
      </x:c>
      <x:c r="B121" s="2" t="str">
        <x:v>openclaw/openclaw</x:v>
      </x:c>
      <x:c r="C121" s="2" t="n">
        <x:v>54763</x:v>
      </x:c>
      <x:c r="D121" s="2" t="str">
        <x:v>C02</x:v>
      </x:c>
      <x:c r="E121" s="2" t="str">
        <x:v>F01</x:v>
      </x:c>
      <x:c r="F121" s="2" t="str">
        <x:v>F01</x:v>
      </x:c>
      <x:c r="G121" s="2" t="n">
        <x:f>IF(OR(E121="",F121=""),"",IF(E121=F121,1,0))</x:f>
        <x:v>1</x:v>
      </x:c>
    </x:row>
    <x:row r="122" ht="24" customHeight="1">
      <x:c r="A122" s="2" t="str">
        <x:v>R0053</x:v>
      </x:c>
      <x:c r="B122" s="2" t="str">
        <x:v>openclaw/openclaw</x:v>
      </x:c>
      <x:c r="C122" s="2" t="n">
        <x:v>54878</x:v>
      </x:c>
      <x:c r="D122" s="2" t="str">
        <x:v>C15</x:v>
      </x:c>
      <x:c r="E122" s="2" t="str">
        <x:v>F03</x:v>
      </x:c>
      <x:c r="F122" s="2" t="str">
        <x:v>F03</x:v>
      </x:c>
      <x:c r="G122" s="2" t="n">
        <x:f>IF(OR(E122="",F122=""),"",IF(E122=F122,1,0))</x:f>
        <x:v>1</x:v>
      </x:c>
    </x:row>
    <x:row r="123" ht="24" customHeight="1">
      <x:c r="A123" s="2" t="str">
        <x:v>R0055</x:v>
      </x:c>
      <x:c r="B123" s="2" t="str">
        <x:v>openclaw/openclaw</x:v>
      </x:c>
      <x:c r="C123" s="2" t="n">
        <x:v>56161</x:v>
      </x:c>
      <x:c r="D123" s="2" t="str">
        <x:v>C16</x:v>
      </x:c>
      <x:c r="E123" s="2" t="str">
        <x:v>F02</x:v>
      </x:c>
      <x:c r="F123" s="2" t="str">
        <x:v>F02</x:v>
      </x:c>
      <x:c r="G123" s="2" t="n">
        <x:f>IF(OR(E123="",F123=""),"",IF(E123=F123,1,0))</x:f>
        <x:v>1</x:v>
      </x:c>
    </x:row>
    <x:row r="124" ht="24" customHeight="1">
      <x:c r="A124" s="2" t="str">
        <x:v>R0058</x:v>
      </x:c>
      <x:c r="B124" s="2" t="str">
        <x:v>openclaw/openclaw</x:v>
      </x:c>
      <x:c r="C124" s="2" t="n">
        <x:v>58115</x:v>
      </x:c>
      <x:c r="D124" s="2" t="str">
        <x:v>C11</x:v>
      </x:c>
      <x:c r="E124" s="2" t="str">
        <x:v>F02</x:v>
      </x:c>
      <x:c r="F124" s="2" t="str">
        <x:v>F02</x:v>
      </x:c>
      <x:c r="G124" s="2" t="n">
        <x:f>IF(OR(E124="",F124=""),"",IF(E124=F124,1,0))</x:f>
        <x:v>1</x:v>
      </x:c>
    </x:row>
    <x:row r="125" ht="24" customHeight="1">
      <x:c r="A125" s="2" t="str">
        <x:v>R0064</x:v>
      </x:c>
      <x:c r="B125" s="2" t="str">
        <x:v>openclaw/openclaw</x:v>
      </x:c>
      <x:c r="C125" s="2" t="n">
        <x:v>62558</x:v>
      </x:c>
      <x:c r="D125" s="2" t="str">
        <x:v>C10</x:v>
      </x:c>
      <x:c r="E125" s="2" t="str">
        <x:v>U1</x:v>
      </x:c>
      <x:c r="F125" s="2" t="str">
        <x:v>U1</x:v>
      </x:c>
      <x:c r="G125" s="2" t="n">
        <x:f>IF(OR(E125="",F125=""),"",IF(E125=F125,1,0))</x:f>
        <x:v>1</x:v>
      </x:c>
    </x:row>
    <x:row r="126" ht="24" customHeight="1">
      <x:c r="A126" s="2" t="str">
        <x:v>R0067</x:v>
      </x:c>
      <x:c r="B126" s="2" t="str">
        <x:v>openclaw/openclaw</x:v>
      </x:c>
      <x:c r="C126" s="2" t="n">
        <x:v>64921</x:v>
      </x:c>
      <x:c r="D126" s="2" t="str">
        <x:v>C09</x:v>
      </x:c>
      <x:c r="E126" s="2" t="str">
        <x:v>F01</x:v>
      </x:c>
      <x:c r="F126" s="2" t="str">
        <x:v>F01</x:v>
      </x:c>
      <x:c r="G126" s="2" t="n">
        <x:f>IF(OR(E126="",F126=""),"",IF(E126=F126,1,0))</x:f>
        <x:v>1</x:v>
      </x:c>
    </x:row>
    <x:row r="127" ht="24" customHeight="1">
      <x:c r="A127" s="2" t="str">
        <x:v>R0068</x:v>
      </x:c>
      <x:c r="B127" s="2" t="str">
        <x:v>openclaw/openclaw</x:v>
      </x:c>
      <x:c r="C127" s="2" t="n">
        <x:v>65122</x:v>
      </x:c>
      <x:c r="D127" s="2" t="str">
        <x:v>C16</x:v>
      </x:c>
      <x:c r="E127" s="2" t="str">
        <x:v>F01</x:v>
      </x:c>
      <x:c r="F127" s="2" t="str">
        <x:v>F01</x:v>
      </x:c>
      <x:c r="G127" s="2" t="n">
        <x:f>IF(OR(E127="",F127=""),"",IF(E127=F127,1,0))</x:f>
        <x:v>1</x:v>
      </x:c>
    </x:row>
    <x:row r="128" ht="24" customHeight="1">
      <x:c r="A128" s="2" t="str">
        <x:v>R0069</x:v>
      </x:c>
      <x:c r="B128" s="2" t="str">
        <x:v>openclaw/openclaw</x:v>
      </x:c>
      <x:c r="C128" s="2" t="n">
        <x:v>65183</x:v>
      </x:c>
      <x:c r="D128" s="2" t="str">
        <x:v>C19</x:v>
      </x:c>
      <x:c r="E128" s="2" t="str">
        <x:v>F02</x:v>
      </x:c>
      <x:c r="F128" s="2" t="str">
        <x:v>F01</x:v>
      </x:c>
      <x:c r="G128" s="2" t="n">
        <x:f>IF(OR(E128="",F128=""),"",IF(E128=F128,1,0))</x:f>
        <x:v>0</x:v>
      </x:c>
    </x:row>
    <x:row r="129" ht="24" customHeight="1">
      <x:c r="A129" s="2" t="str">
        <x:v>R0070</x:v>
      </x:c>
      <x:c r="B129" s="2" t="str">
        <x:v>openclaw/openclaw</x:v>
      </x:c>
      <x:c r="C129" s="2" t="n">
        <x:v>65954</x:v>
      </x:c>
      <x:c r="D129" s="2" t="str">
        <x:v>C24</x:v>
      </x:c>
      <x:c r="E129" s="2" t="str">
        <x:v>F02</x:v>
      </x:c>
      <x:c r="F129" s="2" t="str">
        <x:v>F02</x:v>
      </x:c>
      <x:c r="G129" s="2" t="n">
        <x:f>IF(OR(E129="",F129=""),"",IF(E129=F129,1,0))</x:f>
        <x:v>1</x:v>
      </x:c>
    </x:row>
    <x:row r="130" ht="24" customHeight="1">
      <x:c r="A130" s="2" t="str">
        <x:v>R0071</x:v>
      </x:c>
      <x:c r="B130" s="2" t="str">
        <x:v>openclaw/openclaw</x:v>
      </x:c>
      <x:c r="C130" s="2" t="n">
        <x:v>66581</x:v>
      </x:c>
      <x:c r="D130" s="2" t="str">
        <x:v>C03</x:v>
      </x:c>
      <x:c r="E130" s="2" t="str">
        <x:v>F01</x:v>
      </x:c>
      <x:c r="F130" s="2" t="str">
        <x:v>F01</x:v>
      </x:c>
      <x:c r="G130" s="2" t="n">
        <x:f>IF(OR(E130="",F130=""),"",IF(E130=F130,1,0))</x:f>
        <x:v>1</x:v>
      </x:c>
    </x:row>
    <x:row r="131" ht="24" customHeight="1">
      <x:c r="A131" s="2" t="str">
        <x:v>R0073</x:v>
      </x:c>
      <x:c r="B131" s="2" t="str">
        <x:v>openclaw/openclaw</x:v>
      </x:c>
      <x:c r="C131" s="2" t="n">
        <x:v>70717</x:v>
      </x:c>
      <x:c r="D131" s="2" t="str">
        <x:v>C09</x:v>
      </x:c>
      <x:c r="E131" s="2" t="str">
        <x:v>U1</x:v>
      </x:c>
      <x:c r="F131" s="2" t="str">
        <x:v>U1</x:v>
      </x:c>
      <x:c r="G131" s="2" t="n">
        <x:f>IF(OR(E131="",F131=""),"",IF(E131=F131,1,0))</x:f>
        <x:v>1</x:v>
      </x:c>
    </x:row>
    <x:row r="132" ht="24" customHeight="1">
      <x:c r="A132" s="2" t="str">
        <x:v>R0080</x:v>
      </x:c>
      <x:c r="B132" s="2" t="str">
        <x:v>openclaw/openclaw</x:v>
      </x:c>
      <x:c r="C132" s="2" t="n">
        <x:v>75158</x:v>
      </x:c>
      <x:c r="D132" s="2" t="str">
        <x:v>C16</x:v>
      </x:c>
      <x:c r="E132" s="2" t="str">
        <x:v>F02</x:v>
      </x:c>
      <x:c r="F132" s="2" t="str">
        <x:v>F02</x:v>
      </x:c>
      <x:c r="G132" s="2" t="n">
        <x:f>IF(OR(E132="",F132=""),"",IF(E132=F132,1,0))</x:f>
        <x:v>1</x:v>
      </x:c>
    </x:row>
    <x:row r="133" ht="24" customHeight="1">
      <x:c r="A133" s="2" t="str">
        <x:v>R0081</x:v>
      </x:c>
      <x:c r="B133" s="2" t="str">
        <x:v>openclaw/openclaw</x:v>
      </x:c>
      <x:c r="C133" s="2" t="n">
        <x:v>75512</x:v>
      </x:c>
      <x:c r="D133" s="2" t="str">
        <x:v>C07</x:v>
      </x:c>
      <x:c r="E133" s="2" t="str">
        <x:v>F02</x:v>
      </x:c>
      <x:c r="F133" s="2" t="str">
        <x:v>F02</x:v>
      </x:c>
      <x:c r="G133" s="2" t="n">
        <x:f>IF(OR(E133="",F133=""),"",IF(E133=F133,1,0))</x:f>
        <x:v>1</x:v>
      </x:c>
    </x:row>
    <x:row r="134" ht="24" customHeight="1">
      <x:c r="A134" s="2" t="str">
        <x:v>R0082</x:v>
      </x:c>
      <x:c r="B134" s="2" t="str">
        <x:v>openclaw/openclaw</x:v>
      </x:c>
      <x:c r="C134" s="2" t="n">
        <x:v>75887</x:v>
      </x:c>
      <x:c r="D134" s="2" t="str">
        <x:v>C07</x:v>
      </x:c>
      <x:c r="E134" s="2" t="str">
        <x:v>F02</x:v>
      </x:c>
      <x:c r="F134" s="2" t="str">
        <x:v>F02</x:v>
      </x:c>
      <x:c r="G134" s="2" t="n">
        <x:f>IF(OR(E134="",F134=""),"",IF(E134=F134,1,0))</x:f>
        <x:v>1</x:v>
      </x:c>
    </x:row>
    <x:row r="135" ht="24" customHeight="1">
      <x:c r="A135" s="2" t="str">
        <x:v>R0084</x:v>
      </x:c>
      <x:c r="B135" s="2" t="str">
        <x:v>openclaw/openclaw</x:v>
      </x:c>
      <x:c r="C135" s="2" t="n">
        <x:v>76412</x:v>
      </x:c>
      <x:c r="D135" s="2" t="str">
        <x:v>C14</x:v>
      </x:c>
      <x:c r="E135" s="2" t="str">
        <x:v>F03</x:v>
      </x:c>
      <x:c r="F135" s="2" t="str">
        <x:v>F03</x:v>
      </x:c>
      <x:c r="G135" s="2" t="n">
        <x:f>IF(OR(E135="",F135=""),"",IF(E135=F135,1,0))</x:f>
        <x:v>1</x:v>
      </x:c>
    </x:row>
    <x:row r="136" ht="24" customHeight="1">
      <x:c r="A136" s="2" t="str">
        <x:v>R0085</x:v>
      </x:c>
      <x:c r="B136" s="2" t="str">
        <x:v>openclaw/openclaw</x:v>
      </x:c>
      <x:c r="C136" s="2" t="n">
        <x:v>77106</x:v>
      </x:c>
      <x:c r="D136" s="2" t="str">
        <x:v>C21</x:v>
      </x:c>
      <x:c r="E136" s="2" t="str">
        <x:v>F04</x:v>
      </x:c>
      <x:c r="F136" s="2" t="str">
        <x:v>F04</x:v>
      </x:c>
      <x:c r="G136" s="2" t="n">
        <x:f>IF(OR(E136="",F136=""),"",IF(E136=F136,1,0))</x:f>
        <x:v>1</x:v>
      </x:c>
    </x:row>
    <x:row r="137" ht="24" customHeight="1">
      <x:c r="A137" s="2" t="str">
        <x:v>R0086</x:v>
      </x:c>
      <x:c r="B137" s="2" t="str">
        <x:v>openclaw/openclaw</x:v>
      </x:c>
      <x:c r="C137" s="2" t="n">
        <x:v>77233</x:v>
      </x:c>
      <x:c r="D137" s="2" t="str">
        <x:v>C09</x:v>
      </x:c>
      <x:c r="E137" s="2" t="str">
        <x:v>F02</x:v>
      </x:c>
      <x:c r="F137" s="2" t="str">
        <x:v>F02</x:v>
      </x:c>
      <x:c r="G137" s="2" t="n">
        <x:f>IF(OR(E137="",F137=""),"",IF(E137=F137,1,0))</x:f>
        <x:v>1</x:v>
      </x:c>
    </x:row>
    <x:row r="138" ht="24" customHeight="1">
      <x:c r="A138" s="2" t="str">
        <x:v>R0089</x:v>
      </x:c>
      <x:c r="B138" s="2" t="str">
        <x:v>openclaw/openclaw</x:v>
      </x:c>
      <x:c r="C138" s="2" t="n">
        <x:v>78260</x:v>
      </x:c>
      <x:c r="D138" s="2" t="str">
        <x:v>C10</x:v>
      </x:c>
      <x:c r="E138" s="2" t="str">
        <x:v>F02</x:v>
      </x:c>
      <x:c r="F138" s="2" t="str">
        <x:v>F02</x:v>
      </x:c>
      <x:c r="G138" s="2" t="n">
        <x:f>IF(OR(E138="",F138=""),"",IF(E138=F138,1,0))</x:f>
        <x:v>1</x:v>
      </x:c>
    </x:row>
    <x:row r="139" ht="24" customHeight="1">
      <x:c r="A139" s="2" t="str">
        <x:v>R0090</x:v>
      </x:c>
      <x:c r="B139" s="2" t="str">
        <x:v>openclaw/openclaw</x:v>
      </x:c>
      <x:c r="C139" s="2" t="n">
        <x:v>78671</x:v>
      </x:c>
      <x:c r="D139" s="2" t="str">
        <x:v>C05</x:v>
      </x:c>
      <x:c r="E139" s="2" t="str">
        <x:v>F01</x:v>
      </x:c>
      <x:c r="F139" s="2" t="str">
        <x:v>F02</x:v>
      </x:c>
      <x:c r="G139" s="2" t="n">
        <x:f>IF(OR(E139="",F139=""),"",IF(E139=F139,1,0))</x:f>
        <x:v>0</x:v>
      </x:c>
    </x:row>
    <x:row r="140" ht="24" customHeight="1">
      <x:c r="A140" s="2" t="str">
        <x:v>R0091</x:v>
      </x:c>
      <x:c r="B140" s="2" t="str">
        <x:v>openclaw/openclaw</x:v>
      </x:c>
      <x:c r="C140" s="2" t="n">
        <x:v>81492</x:v>
      </x:c>
      <x:c r="D140" s="2" t="str">
        <x:v>C11</x:v>
      </x:c>
      <x:c r="E140" s="2" t="str">
        <x:v>F02</x:v>
      </x:c>
      <x:c r="F140" s="2" t="str">
        <x:v>F02</x:v>
      </x:c>
      <x:c r="G140" s="2" t="n">
        <x:f>IF(OR(E140="",F140=""),"",IF(E140=F140,1,0))</x:f>
        <x:v>1</x:v>
      </x:c>
    </x:row>
    <x:row r="141" ht="24" customHeight="1">
      <x:c r="A141" s="2" t="str">
        <x:v>R0096</x:v>
      </x:c>
      <x:c r="B141" s="2" t="str">
        <x:v>openclaw/openclaw</x:v>
      </x:c>
      <x:c r="C141" s="2" t="n">
        <x:v>88056</x:v>
      </x:c>
      <x:c r="D141" s="2" t="str">
        <x:v>C10</x:v>
      </x:c>
      <x:c r="E141" s="2" t="str">
        <x:v>F02</x:v>
      </x:c>
      <x:c r="F141" s="2" t="str">
        <x:v>F02</x:v>
      </x:c>
      <x:c r="G141" s="2" t="n">
        <x:f>IF(OR(E141="",F141=""),"",IF(E141=F141,1,0))</x:f>
        <x:v>1</x:v>
      </x:c>
    </x:row>
    <x:row r="142" ht="24" customHeight="1">
      <x:c r="A142" s="2" t="str">
        <x:v>R0104</x:v>
      </x:c>
      <x:c r="B142" s="2" t="str">
        <x:v>openclaw/openclaw</x:v>
      </x:c>
      <x:c r="C142" s="2" t="n">
        <x:v>92486</x:v>
      </x:c>
      <x:c r="D142" s="2" t="str">
        <x:v>C16</x:v>
      </x:c>
      <x:c r="E142" s="2" t="str">
        <x:v>F01</x:v>
      </x:c>
      <x:c r="F142" s="2" t="str">
        <x:v>F01</x:v>
      </x:c>
      <x:c r="G142" s="2" t="n">
        <x:f>IF(OR(E142="",F142=""),"",IF(E142=F142,1,0))</x:f>
        <x:v>1</x:v>
      </x:c>
    </x:row>
    <x:row r="143" ht="24" customHeight="1">
      <x:c r="A143" s="2" t="str">
        <x:v>R0110</x:v>
      </x:c>
      <x:c r="B143" s="2" t="str">
        <x:v>openclaw/openclaw</x:v>
      </x:c>
      <x:c r="C143" s="2" t="n">
        <x:v>102854</x:v>
      </x:c>
      <x:c r="D143" s="2" t="str">
        <x:v>C07</x:v>
      </x:c>
      <x:c r="E143" s="2" t="str">
        <x:v>F02</x:v>
      </x:c>
      <x:c r="F143" s="2" t="str">
        <x:v>F02</x:v>
      </x:c>
      <x:c r="G143" s="2" t="n">
        <x:f>IF(OR(E143="",F143=""),"",IF(E143=F143,1,0))</x:f>
        <x:v>1</x:v>
      </x:c>
    </x:row>
    <x:row r="144" ht="24" customHeight="1">
      <x:c r="A144" s="2" t="str">
        <x:v>R0111</x:v>
      </x:c>
      <x:c r="B144" s="2" t="str">
        <x:v>openclaw/openclaw</x:v>
      </x:c>
      <x:c r="C144" s="2" t="n">
        <x:v>104743</x:v>
      </x:c>
      <x:c r="D144" s="2" t="str">
        <x:v>C15</x:v>
      </x:c>
      <x:c r="E144" s="2" t="str">
        <x:v>F01</x:v>
      </x:c>
      <x:c r="F144" s="2" t="str">
        <x:v>F01</x:v>
      </x:c>
      <x:c r="G144" s="2" t="n">
        <x:f>IF(OR(E144="",F144=""),"",IF(E144=F144,1,0))</x:f>
        <x:v>1</x:v>
      </x:c>
    </x:row>
    <x:row r="145" ht="24" customHeight="1">
      <x:c r="A145" s="2" t="str">
        <x:v>R0112</x:v>
      </x:c>
      <x:c r="B145" s="2" t="str">
        <x:v>openclaw/openclaw</x:v>
      </x:c>
      <x:c r="C145" s="2" t="n">
        <x:v>105110</x:v>
      </x:c>
      <x:c r="D145" s="2" t="str">
        <x:v>C11</x:v>
      </x:c>
      <x:c r="E145" s="2" t="str">
        <x:v>F04</x:v>
      </x:c>
      <x:c r="F145" s="2" t="str">
        <x:v>F04</x:v>
      </x:c>
      <x:c r="G145" s="2" t="n">
        <x:f>IF(OR(E145="",F145=""),"",IF(E145=F145,1,0))</x:f>
        <x:v>1</x:v>
      </x:c>
    </x:row>
    <x:row r="146" ht="24" customHeight="1">
      <x:c r="A146" s="2" t="str">
        <x:v>R0113</x:v>
      </x:c>
      <x:c r="B146" s="2" t="str">
        <x:v>openclaw/openclaw</x:v>
      </x:c>
      <x:c r="C146" s="2" t="n">
        <x:v>106517</x:v>
      </x:c>
      <x:c r="D146" s="2" t="str">
        <x:v>C11</x:v>
      </x:c>
      <x:c r="E146" s="2" t="str">
        <x:v>F03</x:v>
      </x:c>
      <x:c r="F146" s="2" t="str">
        <x:v>F03</x:v>
      </x:c>
      <x:c r="G146" s="2" t="n">
        <x:f>IF(OR(E146="",F146=""),"",IF(E146=F146,1,0))</x:f>
        <x:v>1</x:v>
      </x:c>
    </x:row>
    <x:row r="147" ht="24" customHeight="1">
      <x:c r="A147" s="2" t="str">
        <x:v>R0116</x:v>
      </x:c>
      <x:c r="B147" s="2" t="str">
        <x:v>openclaw/openclaw</x:v>
      </x:c>
      <x:c r="C147" s="2" t="n">
        <x:v>115443</x:v>
      </x:c>
      <x:c r="D147" s="2" t="str">
        <x:v>C23</x:v>
      </x:c>
      <x:c r="E147" s="2" t="str">
        <x:v>F01</x:v>
      </x:c>
      <x:c r="F147" s="2" t="str">
        <x:v>F01</x:v>
      </x:c>
      <x:c r="G147" s="2" t="n">
        <x:f>IF(OR(E147="",F147=""),"",IF(E147=F147,1,0))</x:f>
        <x:v>1</x:v>
      </x:c>
    </x:row>
    <x:row r="148" ht="24" customHeight="1">
      <x:c r="A148" s="2" t="str">
        <x:v>R0117</x:v>
      </x:c>
      <x:c r="B148" s="2" t="str">
        <x:v>openclaw/openclaw</x:v>
      </x:c>
      <x:c r="C148" s="2" t="n">
        <x:v>118018</x:v>
      </x:c>
      <x:c r="D148" s="2" t="str">
        <x:v>C05</x:v>
      </x:c>
      <x:c r="E148" s="2" t="str">
        <x:v>F02</x:v>
      </x:c>
      <x:c r="F148" s="2" t="str">
        <x:v>F03</x:v>
      </x:c>
      <x:c r="G148" s="2" t="n">
        <x:f>IF(OR(E148="",F148=""),"",IF(E148=F148,1,0))</x:f>
        <x:v>0</x:v>
      </x:c>
    </x:row>
    <x:row r="149" ht="24" customHeight="1">
      <x:c r="A149" s="2" t="str">
        <x:v>R0118</x:v>
      </x:c>
      <x:c r="B149" s="2" t="str">
        <x:v>openclaw/openclaw</x:v>
      </x:c>
      <x:c r="C149" s="2" t="n">
        <x:v>119143</x:v>
      </x:c>
      <x:c r="D149" s="2" t="str">
        <x:v>C11</x:v>
      </x:c>
      <x:c r="E149" s="2" t="str">
        <x:v>F02</x:v>
      </x:c>
      <x:c r="F149" s="2" t="str">
        <x:v>F02</x:v>
      </x:c>
      <x:c r="G149" s="2" t="n">
        <x:f>IF(OR(E149="",F149=""),"",IF(E149=F149,1,0))</x:f>
        <x:v>1</x:v>
      </x:c>
    </x:row>
    <x:row r="150" ht="24" customHeight="1">
      <x:c r="A150" s="2" t="str">
        <x:v>R0120</x:v>
      </x:c>
      <x:c r="B150" s="2" t="str">
        <x:v>openclaw/openclaw</x:v>
      </x:c>
      <x:c r="C150" s="2" t="n">
        <x:v>126996</x:v>
      </x:c>
      <x:c r="D150" s="2" t="str">
        <x:v>C13</x:v>
      </x:c>
      <x:c r="E150" s="2" t="str">
        <x:v>F03</x:v>
      </x:c>
      <x:c r="F150" s="2" t="str">
        <x:v>F03</x:v>
      </x:c>
      <x:c r="G150" s="2" t="n">
        <x:f>IF(OR(E150="",F150=""),"",IF(E150=F150,1,0))</x:f>
        <x:v>1</x:v>
      </x:c>
    </x:row>
    <x:row r="151" ht="24" customHeight="1">
      <x:c r="A151" s="2" t="str">
        <x:v>R0121</x:v>
      </x:c>
      <x:c r="B151" s="2" t="str">
        <x:v>openclaw/openclaw</x:v>
      </x:c>
      <x:c r="C151" s="2" t="n">
        <x:v>127034</x:v>
      </x:c>
      <x:c r="D151" s="2" t="str">
        <x:v>C02</x:v>
      </x:c>
      <x:c r="E151" s="2" t="str">
        <x:v>F01</x:v>
      </x:c>
      <x:c r="F151" s="2" t="str">
        <x:v>F01</x:v>
      </x:c>
      <x:c r="G151" s="2" t="n">
        <x:f>IF(OR(E151="",F151=""),"",IF(E151=F151,1,0))</x:f>
        <x:v>1</x:v>
      </x:c>
    </x:row>
    <x:row r="152" ht="24" customHeight="1">
      <x:c r="A152" s="2" t="str">
        <x:v>R0122</x:v>
      </x:c>
      <x:c r="B152" s="2" t="str">
        <x:v>openclaw/openclaw</x:v>
      </x:c>
      <x:c r="C152" s="2" t="n">
        <x:v>128755</x:v>
      </x:c>
      <x:c r="D152" s="2" t="str">
        <x:v>C05</x:v>
      </x:c>
      <x:c r="E152" s="2" t="str">
        <x:v>F01</x:v>
      </x:c>
      <x:c r="F152" s="2" t="str">
        <x:v>F01</x:v>
      </x:c>
      <x:c r="G152" s="2" t="n">
        <x:f>IF(OR(E152="",F152=""),"",IF(E152=F152,1,0))</x:f>
        <x:v>1</x:v>
      </x:c>
    </x:row>
    <x:row r="153" ht="24" customHeight="1">
      <x:c r="A153" s="2" t="str">
        <x:v>R0123</x:v>
      </x:c>
      <x:c r="B153" s="2" t="str">
        <x:v>openclaw/openclaw</x:v>
      </x:c>
      <x:c r="C153" s="2" t="n">
        <x:v>138383</x:v>
      </x:c>
      <x:c r="D153" s="2" t="str">
        <x:v>C14</x:v>
      </x:c>
      <x:c r="E153" s="2" t="str">
        <x:v>F01</x:v>
      </x:c>
      <x:c r="F153" s="2" t="str">
        <x:v>F01</x:v>
      </x:c>
      <x:c r="G153" s="2" t="n">
        <x:f>IF(OR(E153="",F153=""),"",IF(E153=F153,1,0))</x:f>
        <x:v>1</x:v>
      </x:c>
    </x:row>
    <x:row r="154" ht="24" customHeight="1">
      <x:c r="A154" s="2" t="str">
        <x:v>R0125</x:v>
      </x:c>
      <x:c r="B154" s="2" t="str">
        <x:v>openclaw/openclaw</x:v>
      </x:c>
      <x:c r="C154" s="2" t="n">
        <x:v>149553</x:v>
      </x:c>
      <x:c r="D154" s="2" t="str">
        <x:v>C13</x:v>
      </x:c>
      <x:c r="E154" s="2" t="str">
        <x:v>F03</x:v>
      </x:c>
      <x:c r="F154" s="2" t="str">
        <x:v>F03</x:v>
      </x:c>
      <x:c r="G154" s="2" t="n">
        <x:f>IF(OR(E154="",F154=""),"",IF(E154=F154,1,0))</x:f>
        <x:v>1</x:v>
      </x:c>
    </x:row>
    <x:row r="155" ht="24" customHeight="1">
      <x:c r="A155" s="2" t="str">
        <x:v>R0126</x:v>
      </x:c>
      <x:c r="B155" s="2" t="str">
        <x:v>openclaw/openclaw</x:v>
      </x:c>
      <x:c r="C155" s="2" t="n">
        <x:v>157078</x:v>
      </x:c>
      <x:c r="D155" s="2" t="str">
        <x:v>C21</x:v>
      </x:c>
      <x:c r="E155" s="2" t="str">
        <x:v>F02</x:v>
      </x:c>
      <x:c r="F155" s="2" t="str">
        <x:v>F02</x:v>
      </x:c>
      <x:c r="G155" s="2" t="n">
        <x:f>IF(OR(E155="",F155=""),"",IF(E155=F155,1,0))</x:f>
        <x:v>1</x:v>
      </x:c>
    </x:row>
    <x:row r="156" ht="24" customHeight="1">
      <x:c r="A156" s="2" t="str">
        <x:v>R0127</x:v>
      </x:c>
      <x:c r="B156" s="2" t="str">
        <x:v>openclaw/openclaw</x:v>
      </x:c>
      <x:c r="C156" s="2" t="n">
        <x:v>161739</x:v>
      </x:c>
      <x:c r="D156" s="2" t="str">
        <x:v>C18</x:v>
      </x:c>
      <x:c r="E156" s="2" t="str">
        <x:v>F04</x:v>
      </x:c>
      <x:c r="F156" s="2" t="str">
        <x:v>F04</x:v>
      </x:c>
      <x:c r="G156" s="2" t="n">
        <x:f>IF(OR(E156="",F156=""),"",IF(E156=F156,1,0))</x:f>
        <x:v>1</x:v>
      </x:c>
    </x:row>
    <x:row r="157" ht="24" customHeight="1">
      <x:c r="A157" s="2" t="str">
        <x:v>R0128</x:v>
      </x:c>
      <x:c r="B157" s="2" t="str">
        <x:v>openclaw/openclaw</x:v>
      </x:c>
      <x:c r="C157" s="2" t="n">
        <x:v>162880</x:v>
      </x:c>
      <x:c r="D157" s="2" t="str">
        <x:v>C19</x:v>
      </x:c>
      <x:c r="E157" s="2" t="str">
        <x:v>F02</x:v>
      </x:c>
      <x:c r="F157" s="2" t="str">
        <x:v>F02</x:v>
      </x:c>
      <x:c r="G157" s="2" t="n">
        <x:f>IF(OR(E157="",F157=""),"",IF(E157=F157,1,0))</x:f>
        <x:v>1</x:v>
      </x:c>
    </x:row>
    <x:row r="158" ht="24" customHeight="1">
      <x:c r="A158" s="2" t="str">
        <x:v>R0251</x:v>
      </x:c>
      <x:c r="B158" s="2" t="str">
        <x:v>langgenius/dify</x:v>
      </x:c>
      <x:c r="C158" s="2" t="n">
        <x:v>5055</x:v>
      </x:c>
      <x:c r="D158" s="2" t="str">
        <x:v>C04</x:v>
      </x:c>
      <x:c r="E158" s="2" t="str">
        <x:v>F01</x:v>
      </x:c>
      <x:c r="F158" s="2" t="str">
        <x:v>F01</x:v>
      </x:c>
      <x:c r="G158" s="2" t="n">
        <x:f>IF(OR(E158="",F158=""),"",IF(E158=F158,1,0))</x:f>
        <x:v>1</x:v>
      </x:c>
    </x:row>
    <x:row r="159" ht="24" customHeight="1">
      <x:c r="A159" s="2" t="str">
        <x:v>R0254</x:v>
      </x:c>
      <x:c r="B159" s="2" t="str">
        <x:v>langgenius/dify</x:v>
      </x:c>
      <x:c r="C159" s="2" t="n">
        <x:v>5343</x:v>
      </x:c>
      <x:c r="D159" s="2" t="str">
        <x:v>C03</x:v>
      </x:c>
      <x:c r="E159" s="2" t="str">
        <x:v>U1</x:v>
      </x:c>
      <x:c r="F159" s="2" t="str">
        <x:v>U1</x:v>
      </x:c>
      <x:c r="G159" s="2" t="n">
        <x:f>IF(OR(E159="",F159=""),"",IF(E159=F159,1,0))</x:f>
        <x:v>1</x:v>
      </x:c>
    </x:row>
    <x:row r="160" ht="24" customHeight="1">
      <x:c r="A160" s="2" t="str">
        <x:v>R0256</x:v>
      </x:c>
      <x:c r="B160" s="2" t="str">
        <x:v>langgenius/dify</x:v>
      </x:c>
      <x:c r="C160" s="2" t="n">
        <x:v>5969</x:v>
      </x:c>
      <x:c r="D160" s="2" t="str">
        <x:v>C06</x:v>
      </x:c>
      <x:c r="E160" s="2" t="str">
        <x:v>F02</x:v>
      </x:c>
      <x:c r="F160" s="2" t="str">
        <x:v>U1</x:v>
      </x:c>
      <x:c r="G160" s="2" t="n">
        <x:f>IF(OR(E160="",F160=""),"",IF(E160=F160,1,0))</x:f>
        <x:v>0</x:v>
      </x:c>
    </x:row>
    <x:row r="161" ht="24" customHeight="1">
      <x:c r="A161" s="2" t="str">
        <x:v>R0257</x:v>
      </x:c>
      <x:c r="B161" s="2" t="str">
        <x:v>langgenius/dify</x:v>
      </x:c>
      <x:c r="C161" s="2" t="n">
        <x:v>6857</x:v>
      </x:c>
      <x:c r="D161" s="2" t="str">
        <x:v>C14</x:v>
      </x:c>
      <x:c r="E161" s="2" t="str">
        <x:v>F01</x:v>
      </x:c>
      <x:c r="F161" s="2" t="str">
        <x:v>F01</x:v>
      </x:c>
      <x:c r="G161" s="2" t="n">
        <x:f>IF(OR(E161="",F161=""),"",IF(E161=F161,1,0))</x:f>
        <x:v>1</x:v>
      </x:c>
    </x:row>
    <x:row r="162" ht="24" customHeight="1">
      <x:c r="A162" s="2" t="str">
        <x:v>R0259</x:v>
      </x:c>
      <x:c r="B162" s="2" t="str">
        <x:v>langgenius/dify</x:v>
      </x:c>
      <x:c r="C162" s="2" t="n">
        <x:v>7687</x:v>
      </x:c>
      <x:c r="D162" s="2" t="str">
        <x:v>C17</x:v>
      </x:c>
      <x:c r="E162" s="2" t="str">
        <x:v>U1</x:v>
      </x:c>
      <x:c r="F162" s="2" t="str">
        <x:v>U1</x:v>
      </x:c>
      <x:c r="G162" s="2" t="n">
        <x:f>IF(OR(E162="",F162=""),"",IF(E162=F162,1,0))</x:f>
        <x:v>1</x:v>
      </x:c>
    </x:row>
    <x:row r="163" ht="24" customHeight="1">
      <x:c r="A163" s="2" t="str">
        <x:v>R0265</x:v>
      </x:c>
      <x:c r="B163" s="2" t="str">
        <x:v>langgenius/dify</x:v>
      </x:c>
      <x:c r="C163" s="2" t="n">
        <x:v>10507</x:v>
      </x:c>
      <x:c r="D163" s="2" t="str">
        <x:v>C17</x:v>
      </x:c>
      <x:c r="E163" s="2" t="str">
        <x:v>F04</x:v>
      </x:c>
      <x:c r="F163" s="2" t="str">
        <x:v>F04</x:v>
      </x:c>
      <x:c r="G163" s="2" t="n">
        <x:f>IF(OR(E163="",F163=""),"",IF(E163=F163,1,0))</x:f>
        <x:v>1</x:v>
      </x:c>
    </x:row>
    <x:row r="164" ht="24" customHeight="1">
      <x:c r="A164" s="2" t="str">
        <x:v>R0266</x:v>
      </x:c>
      <x:c r="B164" s="2" t="str">
        <x:v>langgenius/dify</x:v>
      </x:c>
      <x:c r="C164" s="2" t="n">
        <x:v>10639</x:v>
      </x:c>
      <x:c r="D164" s="2" t="str">
        <x:v>C01</x:v>
      </x:c>
      <x:c r="E164" s="2" t="str">
        <x:v>U1</x:v>
      </x:c>
      <x:c r="F164" s="2" t="str">
        <x:v>U1</x:v>
      </x:c>
      <x:c r="G164" s="2" t="n">
        <x:f>IF(OR(E164="",F164=""),"",IF(E164=F164,1,0))</x:f>
        <x:v>1</x:v>
      </x:c>
    </x:row>
    <x:row r="165" ht="24" customHeight="1">
      <x:c r="A165" s="2" t="str">
        <x:v>R0268</x:v>
      </x:c>
      <x:c r="B165" s="2" t="str">
        <x:v>langgenius/dify</x:v>
      </x:c>
      <x:c r="C165" s="2" t="n">
        <x:v>12168</x:v>
      </x:c>
      <x:c r="D165" s="2" t="str">
        <x:v>C03</x:v>
      </x:c>
      <x:c r="E165" s="2" t="str">
        <x:v>U1</x:v>
      </x:c>
      <x:c r="F165" s="2" t="str">
        <x:v>U1</x:v>
      </x:c>
      <x:c r="G165" s="2" t="n">
        <x:f>IF(OR(E165="",F165=""),"",IF(E165=F165,1,0))</x:f>
        <x:v>1</x:v>
      </x:c>
    </x:row>
    <x:row r="166" ht="24" customHeight="1">
      <x:c r="A166" s="2" t="str">
        <x:v>R0272</x:v>
      </x:c>
      <x:c r="B166" s="2" t="str">
        <x:v>langgenius/dify</x:v>
      </x:c>
      <x:c r="C166" s="2" t="n">
        <x:v>15040</x:v>
      </x:c>
      <x:c r="D166" s="2" t="str">
        <x:v>C03</x:v>
      </x:c>
      <x:c r="E166" s="2" t="str">
        <x:v>U1</x:v>
      </x:c>
      <x:c r="F166" s="2" t="str">
        <x:v>U1</x:v>
      </x:c>
      <x:c r="G166" s="2" t="n">
        <x:f>IF(OR(E166="",F166=""),"",IF(E166=F166,1,0))</x:f>
        <x:v>1</x:v>
      </x:c>
    </x:row>
    <x:row r="167" ht="24" customHeight="1">
      <x:c r="A167" s="2" t="str">
        <x:v>R0273</x:v>
      </x:c>
      <x:c r="B167" s="2" t="str">
        <x:v>langgenius/dify</x:v>
      </x:c>
      <x:c r="C167" s="2" t="n">
        <x:v>15159</x:v>
      </x:c>
      <x:c r="D167" s="2" t="str">
        <x:v>C14</x:v>
      </x:c>
      <x:c r="E167" s="2" t="str">
        <x:v>U1</x:v>
      </x:c>
      <x:c r="F167" s="2" t="str">
        <x:v>U1</x:v>
      </x:c>
      <x:c r="G167" s="2" t="n">
        <x:f>IF(OR(E167="",F167=""),"",IF(E167=F167,1,0))</x:f>
        <x:v>1</x:v>
      </x:c>
    </x:row>
    <x:row r="168" ht="24" customHeight="1">
      <x:c r="A168" s="2" t="str">
        <x:v>R0279</x:v>
      </x:c>
      <x:c r="B168" s="2" t="str">
        <x:v>langgenius/dify</x:v>
      </x:c>
      <x:c r="C168" s="2" t="n">
        <x:v>16103</x:v>
      </x:c>
      <x:c r="D168" s="2" t="str">
        <x:v>C04</x:v>
      </x:c>
      <x:c r="E168" s="2" t="str">
        <x:v>U1</x:v>
      </x:c>
      <x:c r="F168" s="2" t="str">
        <x:v>F01</x:v>
      </x:c>
      <x:c r="G168" s="2" t="n">
        <x:f>IF(OR(E168="",F168=""),"",IF(E168=F168,1,0))</x:f>
        <x:v>0</x:v>
      </x:c>
    </x:row>
    <x:row r="169" ht="24" customHeight="1">
      <x:c r="A169" s="2" t="str">
        <x:v>R0282</x:v>
      </x:c>
      <x:c r="B169" s="2" t="str">
        <x:v>langgenius/dify</x:v>
      </x:c>
      <x:c r="C169" s="2" t="n">
        <x:v>17012</x:v>
      </x:c>
      <x:c r="D169" s="2" t="str">
        <x:v>C19</x:v>
      </x:c>
      <x:c r="E169" s="2" t="str">
        <x:v>U1</x:v>
      </x:c>
      <x:c r="F169" s="2" t="str">
        <x:v>U1</x:v>
      </x:c>
      <x:c r="G169" s="2" t="n">
        <x:f>IF(OR(E169="",F169=""),"",IF(E169=F169,1,0))</x:f>
        <x:v>1</x:v>
      </x:c>
    </x:row>
    <x:row r="170" ht="24" customHeight="1">
      <x:c r="A170" s="2" t="str">
        <x:v>R0286</x:v>
      </x:c>
      <x:c r="B170" s="2" t="str">
        <x:v>langgenius/dify</x:v>
      </x:c>
      <x:c r="C170" s="2" t="n">
        <x:v>18276</x:v>
      </x:c>
      <x:c r="D170" s="2" t="str">
        <x:v>C20</x:v>
      </x:c>
      <x:c r="E170" s="2" t="str">
        <x:v>U1</x:v>
      </x:c>
      <x:c r="F170" s="2" t="str">
        <x:v>U1</x:v>
      </x:c>
      <x:c r="G170" s="2" t="n">
        <x:f>IF(OR(E170="",F170=""),"",IF(E170=F170,1,0))</x:f>
        <x:v>1</x:v>
      </x:c>
    </x:row>
    <x:row r="171" ht="24" customHeight="1">
      <x:c r="A171" s="2" t="str">
        <x:v>R0287</x:v>
      </x:c>
      <x:c r="B171" s="2" t="str">
        <x:v>langgenius/dify</x:v>
      </x:c>
      <x:c r="C171" s="2" t="n">
        <x:v>18976</x:v>
      </x:c>
      <x:c r="D171" s="2" t="str">
        <x:v>C03</x:v>
      </x:c>
      <x:c r="E171" s="2" t="str">
        <x:v>F01</x:v>
      </x:c>
      <x:c r="F171" s="2" t="str">
        <x:v>F01</x:v>
      </x:c>
      <x:c r="G171" s="2" t="n">
        <x:f>IF(OR(E171="",F171=""),"",IF(E171=F171,1,0))</x:f>
        <x:v>1</x:v>
      </x:c>
    </x:row>
    <x:row r="172" ht="24" customHeight="1">
      <x:c r="A172" s="2" t="str">
        <x:v>R0289</x:v>
      </x:c>
      <x:c r="B172" s="2" t="str">
        <x:v>langgenius/dify</x:v>
      </x:c>
      <x:c r="C172" s="2" t="n">
        <x:v>19625</x:v>
      </x:c>
      <x:c r="D172" s="2" t="str">
        <x:v>C01</x:v>
      </x:c>
      <x:c r="E172" s="2" t="str">
        <x:v>F01</x:v>
      </x:c>
      <x:c r="F172" s="2" t="str">
        <x:v>F01</x:v>
      </x:c>
      <x:c r="G172" s="2" t="n">
        <x:f>IF(OR(E172="",F172=""),"",IF(E172=F172,1,0))</x:f>
        <x:v>1</x:v>
      </x:c>
    </x:row>
    <x:row r="173" ht="24" customHeight="1">
      <x:c r="A173" s="2" t="str">
        <x:v>R0296</x:v>
      </x:c>
      <x:c r="B173" s="2" t="str">
        <x:v>langgenius/dify</x:v>
      </x:c>
      <x:c r="C173" s="2" t="n">
        <x:v>20719</x:v>
      </x:c>
      <x:c r="D173" s="2" t="str">
        <x:v>C11</x:v>
      </x:c>
      <x:c r="E173" s="2" t="str">
        <x:v>U1</x:v>
      </x:c>
      <x:c r="F173" s="2" t="str">
        <x:v>U1</x:v>
      </x:c>
      <x:c r="G173" s="2" t="n">
        <x:f>IF(OR(E173="",F173=""),"",IF(E173=F173,1,0))</x:f>
        <x:v>1</x:v>
      </x:c>
    </x:row>
    <x:row r="174" ht="24" customHeight="1">
      <x:c r="A174" s="2" t="str">
        <x:v>R0297</x:v>
      </x:c>
      <x:c r="B174" s="2" t="str">
        <x:v>langgenius/dify</x:v>
      </x:c>
      <x:c r="C174" s="2" t="n">
        <x:v>22179</x:v>
      </x:c>
      <x:c r="D174" s="2" t="str">
        <x:v>C02</x:v>
      </x:c>
      <x:c r="E174" s="2" t="str">
        <x:v>F01</x:v>
      </x:c>
      <x:c r="F174" s="2" t="str">
        <x:v>F01</x:v>
      </x:c>
      <x:c r="G174" s="2" t="n">
        <x:f>IF(OR(E174="",F174=""),"",IF(E174=F174,1,0))</x:f>
        <x:v>1</x:v>
      </x:c>
    </x:row>
    <x:row r="175" ht="24" customHeight="1">
      <x:c r="A175" s="2" t="str">
        <x:v>R0298</x:v>
      </x:c>
      <x:c r="B175" s="2" t="str">
        <x:v>langgenius/dify</x:v>
      </x:c>
      <x:c r="C175" s="2" t="n">
        <x:v>22888</x:v>
      </x:c>
      <x:c r="D175" s="2" t="str">
        <x:v>C02</x:v>
      </x:c>
      <x:c r="E175" s="2" t="str">
        <x:v>F03</x:v>
      </x:c>
      <x:c r="F175" s="2" t="str">
        <x:v>F03</x:v>
      </x:c>
      <x:c r="G175" s="2" t="n">
        <x:f>IF(OR(E175="",F175=""),"",IF(E175=F175,1,0))</x:f>
        <x:v>1</x:v>
      </x:c>
    </x:row>
    <x:row r="176" ht="24" customHeight="1">
      <x:c r="A176" s="2" t="str">
        <x:v>R0299</x:v>
      </x:c>
      <x:c r="B176" s="2" t="str">
        <x:v>langgenius/dify</x:v>
      </x:c>
      <x:c r="C176" s="2" t="n">
        <x:v>23082</x:v>
      </x:c>
      <x:c r="D176" s="2" t="str">
        <x:v>C12</x:v>
      </x:c>
      <x:c r="E176" s="2" t="str">
        <x:v>F01</x:v>
      </x:c>
      <x:c r="F176" s="2" t="str">
        <x:v>U1</x:v>
      </x:c>
      <x:c r="G176" s="2" t="n">
        <x:f>IF(OR(E176="",F176=""),"",IF(E176=F176,1,0))</x:f>
        <x:v>0</x:v>
      </x:c>
    </x:row>
    <x:row r="177" ht="24" customHeight="1">
      <x:c r="A177" s="2" t="str">
        <x:v>R0301</x:v>
      </x:c>
      <x:c r="B177" s="2" t="str">
        <x:v>langgenius/dify</x:v>
      </x:c>
      <x:c r="C177" s="2" t="n">
        <x:v>23400</x:v>
      </x:c>
      <x:c r="D177" s="2" t="str">
        <x:v>C02</x:v>
      </x:c>
      <x:c r="E177" s="2" t="str">
        <x:v>F01</x:v>
      </x:c>
      <x:c r="F177" s="2" t="str">
        <x:v>F01</x:v>
      </x:c>
      <x:c r="G177" s="2" t="n">
        <x:f>IF(OR(E177="",F177=""),"",IF(E177=F177,1,0))</x:f>
        <x:v>1</x:v>
      </x:c>
    </x:row>
    <x:row r="178" ht="24" customHeight="1">
      <x:c r="A178" s="2" t="str">
        <x:v>R0303</x:v>
      </x:c>
      <x:c r="B178" s="2" t="str">
        <x:v>langgenius/dify</x:v>
      </x:c>
      <x:c r="C178" s="2" t="n">
        <x:v>23973</x:v>
      </x:c>
      <x:c r="D178" s="2" t="str">
        <x:v>C01</x:v>
      </x:c>
      <x:c r="E178" s="2" t="str">
        <x:v>F03</x:v>
      </x:c>
      <x:c r="F178" s="2" t="str">
        <x:v>F03</x:v>
      </x:c>
      <x:c r="G178" s="2" t="n">
        <x:f>IF(OR(E178="",F178=""),"",IF(E178=F178,1,0))</x:f>
        <x:v>1</x:v>
      </x:c>
    </x:row>
    <x:row r="179" ht="24" customHeight="1">
      <x:c r="A179" s="2" t="str">
        <x:v>R0304</x:v>
      </x:c>
      <x:c r="B179" s="2" t="str">
        <x:v>langgenius/dify</x:v>
      </x:c>
      <x:c r="C179" s="2" t="n">
        <x:v>24059</x:v>
      </x:c>
      <x:c r="D179" s="2" t="str">
        <x:v>C14</x:v>
      </x:c>
      <x:c r="E179" s="2" t="str">
        <x:v>F01</x:v>
      </x:c>
      <x:c r="F179" s="2" t="str">
        <x:v>F01</x:v>
      </x:c>
      <x:c r="G179" s="2" t="n">
        <x:f>IF(OR(E179="",F179=""),"",IF(E179=F179,1,0))</x:f>
        <x:v>1</x:v>
      </x:c>
    </x:row>
    <x:row r="180" ht="24" customHeight="1">
      <x:c r="A180" s="2" t="str">
        <x:v>R0305</x:v>
      </x:c>
      <x:c r="B180" s="2" t="str">
        <x:v>langgenius/dify</x:v>
      </x:c>
      <x:c r="C180" s="2" t="n">
        <x:v>24598</x:v>
      </x:c>
      <x:c r="D180" s="2" t="str">
        <x:v>C24</x:v>
      </x:c>
      <x:c r="E180" s="2" t="str">
        <x:v>U1</x:v>
      </x:c>
      <x:c r="F180" s="2" t="str">
        <x:v>F02</x:v>
      </x:c>
      <x:c r="G180" s="2" t="n">
        <x:f>IF(OR(E180="",F180=""),"",IF(E180=F180,1,0))</x:f>
        <x:v>0</x:v>
      </x:c>
    </x:row>
    <x:row r="181" ht="24" customHeight="1">
      <x:c r="A181" s="2" t="str">
        <x:v>R0307</x:v>
      </x:c>
      <x:c r="B181" s="2" t="str">
        <x:v>langgenius/dify</x:v>
      </x:c>
      <x:c r="C181" s="2" t="n">
        <x:v>24979</x:v>
      </x:c>
      <x:c r="D181" s="2" t="str">
        <x:v>C19</x:v>
      </x:c>
      <x:c r="E181" s="2" t="str">
        <x:v>F01</x:v>
      </x:c>
      <x:c r="F181" s="2" t="str">
        <x:v>F01</x:v>
      </x:c>
      <x:c r="G181" s="2" t="n">
        <x:f>IF(OR(E181="",F181=""),"",IF(E181=F181,1,0))</x:f>
        <x:v>1</x:v>
      </x:c>
    </x:row>
    <x:row r="182" ht="24" customHeight="1">
      <x:c r="A182" s="2" t="str">
        <x:v>R0309</x:v>
      </x:c>
      <x:c r="B182" s="2" t="str">
        <x:v>langgenius/dify</x:v>
      </x:c>
      <x:c r="C182" s="2" t="n">
        <x:v>25258</x:v>
      </x:c>
      <x:c r="D182" s="2" t="str">
        <x:v>C06</x:v>
      </x:c>
      <x:c r="E182" s="2" t="str">
        <x:v>F02</x:v>
      </x:c>
      <x:c r="F182" s="2" t="str">
        <x:v>F02</x:v>
      </x:c>
      <x:c r="G182" s="2" t="n">
        <x:f>IF(OR(E182="",F182=""),"",IF(E182=F182,1,0))</x:f>
        <x:v>1</x:v>
      </x:c>
    </x:row>
    <x:row r="183" ht="24" customHeight="1">
      <x:c r="A183" s="2" t="str">
        <x:v>R0317</x:v>
      </x:c>
      <x:c r="B183" s="2" t="str">
        <x:v>langgenius/dify</x:v>
      </x:c>
      <x:c r="C183" s="2" t="n">
        <x:v>28491</x:v>
      </x:c>
      <x:c r="D183" s="2" t="str">
        <x:v>C04</x:v>
      </x:c>
      <x:c r="E183" s="2" t="str">
        <x:v>U1</x:v>
      </x:c>
      <x:c r="F183" s="2" t="str">
        <x:v>U1</x:v>
      </x:c>
      <x:c r="G183" s="2" t="n">
        <x:f>IF(OR(E183="",F183=""),"",IF(E183=F183,1,0))</x:f>
        <x:v>1</x:v>
      </x:c>
    </x:row>
    <x:row r="184" ht="24" customHeight="1">
      <x:c r="A184" s="2" t="str">
        <x:v>R0327</x:v>
      </x:c>
      <x:c r="B184" s="2" t="str">
        <x:v>langgenius/dify</x:v>
      </x:c>
      <x:c r="C184" s="2" t="n">
        <x:v>33626</x:v>
      </x:c>
      <x:c r="D184" s="2" t="str">
        <x:v>C07</x:v>
      </x:c>
      <x:c r="E184" s="2" t="str">
        <x:v>F02</x:v>
      </x:c>
      <x:c r="F184" s="2" t="str">
        <x:v>F02</x:v>
      </x:c>
      <x:c r="G184" s="2" t="n">
        <x:f>IF(OR(E184="",F184=""),"",IF(E184=F184,1,0))</x:f>
        <x:v>1</x:v>
      </x:c>
    </x:row>
    <x:row r="185" ht="24" customHeight="1">
      <x:c r="A185" s="2" t="str">
        <x:v>R0328</x:v>
      </x:c>
      <x:c r="B185" s="2" t="str">
        <x:v>langgenius/dify</x:v>
      </x:c>
      <x:c r="C185" s="2" t="n">
        <x:v>34446</x:v>
      </x:c>
      <x:c r="D185" s="2" t="str">
        <x:v>C11</x:v>
      </x:c>
      <x:c r="E185" s="2" t="str">
        <x:v>U1</x:v>
      </x:c>
      <x:c r="F185" s="2" t="str">
        <x:v>U1</x:v>
      </x:c>
      <x:c r="G185" s="2" t="n">
        <x:f>IF(OR(E185="",F185=""),"",IF(E185=F185,1,0))</x:f>
        <x:v>1</x:v>
      </x:c>
    </x:row>
    <x:row r="186" ht="24" customHeight="1">
      <x:c r="A186" s="2" t="str">
        <x:v>R0332</x:v>
      </x:c>
      <x:c r="B186" s="2" t="str">
        <x:v>langgenius/dify</x:v>
      </x:c>
      <x:c r="C186" s="2" t="n">
        <x:v>38050</x:v>
      </x:c>
      <x:c r="D186" s="2" t="str">
        <x:v>C20</x:v>
      </x:c>
      <x:c r="E186" s="2" t="str">
        <x:v>F02</x:v>
      </x:c>
      <x:c r="F186" s="2" t="str">
        <x:v>F02</x:v>
      </x:c>
      <x:c r="G186" s="2" t="n">
        <x:f>IF(OR(E186="",F186=""),"",IF(E186=F186,1,0))</x:f>
        <x:v>1</x:v>
      </x:c>
    </x:row>
    <x:row r="187" ht="24" customHeight="1">
      <x:c r="A187" s="2" t="str">
        <x:v>R0333</x:v>
      </x:c>
      <x:c r="B187" s="2" t="str">
        <x:v>langgenius/dify</x:v>
      </x:c>
      <x:c r="C187" s="2" t="n">
        <x:v>38085</x:v>
      </x:c>
      <x:c r="D187" s="2" t="str">
        <x:v>C13</x:v>
      </x:c>
      <x:c r="E187" s="2" t="str">
        <x:v>F03</x:v>
      </x:c>
      <x:c r="F187" s="2" t="str">
        <x:v>F03</x:v>
      </x:c>
      <x:c r="G187" s="2" t="n">
        <x:f>IF(OR(E187="",F187=""),"",IF(E187=F187,1,0))</x:f>
        <x:v>1</x:v>
      </x:c>
    </x:row>
    <x:row r="188" ht="24" customHeight="1">
      <x:c r="A188" s="2" t="str">
        <x:v>R0334</x:v>
      </x:c>
      <x:c r="B188" s="2" t="str">
        <x:v>langgenius/dify</x:v>
      </x:c>
      <x:c r="C188" s="2" t="n">
        <x:v>41042</x:v>
      </x:c>
      <x:c r="D188" s="2" t="str">
        <x:v>C20</x:v>
      </x:c>
      <x:c r="E188" s="2" t="str">
        <x:v>F02</x:v>
      </x:c>
      <x:c r="F188" s="2" t="str">
        <x:v>F02</x:v>
      </x:c>
      <x:c r="G188" s="2" t="n">
        <x:f>IF(OR(E188="",F188=""),"",IF(E188=F188,1,0))</x:f>
        <x:v>1</x:v>
      </x:c>
    </x:row>
    <x:row r="189" ht="24" customHeight="1">
      <x:c r="A189" s="2" t="str">
        <x:v>R0335</x:v>
      </x:c>
      <x:c r="B189" s="2" t="str">
        <x:v>langgenius/dify</x:v>
      </x:c>
      <x:c r="C189" s="2" t="n">
        <x:v>41169</x:v>
      </x:c>
      <x:c r="D189" s="2" t="str">
        <x:v>C14</x:v>
      </x:c>
      <x:c r="E189" s="2" t="str">
        <x:v>F03</x:v>
      </x:c>
      <x:c r="F189" s="2" t="str">
        <x:v>F03</x:v>
      </x:c>
      <x:c r="G189" s="2" t="n">
        <x:f>IF(OR(E189="",F189=""),"",IF(E189=F189,1,0))</x:f>
        <x:v>1</x:v>
      </x:c>
    </x:row>
    <x:row r="190" ht="24" customHeight="1">
      <x:c r="A190" s="2" t="str">
        <x:v>R0337</x:v>
      </x:c>
      <x:c r="B190" s="2" t="str">
        <x:v>langgenius/dify</x:v>
      </x:c>
      <x:c r="C190" s="2" t="n">
        <x:v>42388</x:v>
      </x:c>
      <x:c r="D190" s="2" t="str">
        <x:v>C06</x:v>
      </x:c>
      <x:c r="E190" s="2" t="str">
        <x:v>U1</x:v>
      </x:c>
      <x:c r="F190" s="2" t="str">
        <x:v>F02</x:v>
      </x:c>
      <x:c r="G190" s="2" t="n">
        <x:f>IF(OR(E190="",F190=""),"",IF(E190=F190,1,0))</x:f>
        <x:v>0</x:v>
      </x:c>
    </x:row>
    <x:row r="191" ht="24" customHeight="1">
      <x:c r="A191" s="2" t="str">
        <x:v>R0341</x:v>
      </x:c>
      <x:c r="B191" s="2" t="str">
        <x:v>open-webui/open-webui</x:v>
      </x:c>
      <x:c r="C191" s="2" t="n">
        <x:v>12705</x:v>
      </x:c>
      <x:c r="D191" s="2" t="str">
        <x:v>C08</x:v>
      </x:c>
      <x:c r="E191" s="2" t="str">
        <x:v>U1</x:v>
      </x:c>
      <x:c r="F191" s="2" t="str">
        <x:v>U1</x:v>
      </x:c>
      <x:c r="G191" s="2" t="n">
        <x:f>IF(OR(E191="",F191=""),"",IF(E191=F191,1,0))</x:f>
        <x:v>1</x:v>
      </x:c>
    </x:row>
    <x:row r="192" ht="24" customHeight="1">
      <x:c r="A192" s="2" t="str">
        <x:v>R0345</x:v>
      </x:c>
      <x:c r="B192" s="2" t="str">
        <x:v>open-webui/open-webui</x:v>
      </x:c>
      <x:c r="C192" s="2" t="n">
        <x:v>14115</x:v>
      </x:c>
      <x:c r="D192" s="2" t="str">
        <x:v>C02</x:v>
      </x:c>
      <x:c r="E192" s="2" t="str">
        <x:v>F01</x:v>
      </x:c>
      <x:c r="F192" s="2" t="str">
        <x:v>F01</x:v>
      </x:c>
      <x:c r="G192" s="2" t="n">
        <x:f>IF(OR(E192="",F192=""),"",IF(E192=F192,1,0))</x:f>
        <x:v>1</x:v>
      </x:c>
    </x:row>
    <x:row r="193" ht="24" customHeight="1">
      <x:c r="A193" s="2" t="str">
        <x:v>R0348</x:v>
      </x:c>
      <x:c r="B193" s="2" t="str">
        <x:v>open-webui/open-webui</x:v>
      </x:c>
      <x:c r="C193" s="2" t="n">
        <x:v>16393</x:v>
      </x:c>
      <x:c r="D193" s="2" t="str">
        <x:v>C03</x:v>
      </x:c>
      <x:c r="E193" s="2" t="str">
        <x:v>F01</x:v>
      </x:c>
      <x:c r="F193" s="2" t="str">
        <x:v>F01</x:v>
      </x:c>
      <x:c r="G193" s="2" t="n">
        <x:f>IF(OR(E193="",F193=""),"",IF(E193=F193,1,0))</x:f>
        <x:v>1</x:v>
      </x:c>
    </x:row>
    <x:row r="194" ht="24" customHeight="1">
      <x:c r="A194" s="2" t="str">
        <x:v>R0357</x:v>
      </x:c>
      <x:c r="B194" s="2" t="str">
        <x:v>open-webui/open-webui</x:v>
      </x:c>
      <x:c r="C194" s="2" t="n">
        <x:v>19733</x:v>
      </x:c>
      <x:c r="D194" s="2" t="str">
        <x:v>C02</x:v>
      </x:c>
      <x:c r="E194" s="2" t="str">
        <x:v>F01</x:v>
      </x:c>
      <x:c r="F194" s="2" t="str">
        <x:v>F01</x:v>
      </x:c>
      <x:c r="G194" s="2" t="n">
        <x:f>IF(OR(E194="",F194=""),"",IF(E194=F194,1,0))</x:f>
        <x:v>1</x:v>
      </x:c>
    </x:row>
    <x:row r="195" ht="24" customHeight="1">
      <x:c r="A195" s="2" t="str">
        <x:v>R0359</x:v>
      </x:c>
      <x:c r="B195" s="2" t="str">
        <x:v>open-webui/open-webui</x:v>
      </x:c>
      <x:c r="C195" s="2" t="n">
        <x:v>20237</x:v>
      </x:c>
      <x:c r="D195" s="2" t="str">
        <x:v>C03</x:v>
      </x:c>
      <x:c r="E195" s="2" t="str">
        <x:v>U1</x:v>
      </x:c>
      <x:c r="F195" s="2" t="str">
        <x:v>U1</x:v>
      </x:c>
      <x:c r="G195" s="2" t="n">
        <x:f>IF(OR(E195="",F195=""),"",IF(E195=F195,1,0))</x:f>
        <x:v>1</x:v>
      </x:c>
    </x:row>
    <x:row r="196" ht="24" customHeight="1">
      <x:c r="A196" s="2" t="str">
        <x:v>R0361</x:v>
      </x:c>
      <x:c r="B196" s="2" t="str">
        <x:v>open-webui/open-webui</x:v>
      </x:c>
      <x:c r="C196" s="2" t="n">
        <x:v>20847</x:v>
      </x:c>
      <x:c r="D196" s="2" t="str">
        <x:v>C15</x:v>
      </x:c>
      <x:c r="E196" s="2" t="str">
        <x:v>F03</x:v>
      </x:c>
      <x:c r="F196" s="2" t="str">
        <x:v>F03</x:v>
      </x:c>
      <x:c r="G196" s="2" t="n">
        <x:f>IF(OR(E196="",F196=""),"",IF(E196=F196,1,0))</x:f>
        <x:v>1</x:v>
      </x:c>
    </x:row>
    <x:row r="197" ht="24" customHeight="1">
      <x:c r="A197" s="2" t="str">
        <x:v>R0362</x:v>
      </x:c>
      <x:c r="B197" s="2" t="str">
        <x:v>open-webui/open-webui</x:v>
      </x:c>
      <x:c r="C197" s="2" t="n">
        <x:v>21179</x:v>
      </x:c>
      <x:c r="D197" s="2" t="str">
        <x:v>C01</x:v>
      </x:c>
      <x:c r="E197" s="2" t="str">
        <x:v>F01</x:v>
      </x:c>
      <x:c r="F197" s="2" t="str">
        <x:v>F01</x:v>
      </x:c>
      <x:c r="G197" s="2" t="n">
        <x:f>IF(OR(E197="",F197=""),"",IF(E197=F197,1,0))</x:f>
        <x:v>1</x:v>
      </x:c>
    </x:row>
    <x:row r="198" ht="24" customHeight="1">
      <x:c r="A198" s="2" t="str">
        <x:v>R0367</x:v>
      </x:c>
      <x:c r="B198" s="2" t="str">
        <x:v>open-webui/open-webui</x:v>
      </x:c>
      <x:c r="C198" s="2" t="n">
        <x:v>22994</x:v>
      </x:c>
      <x:c r="D198" s="2" t="str">
        <x:v>C06</x:v>
      </x:c>
      <x:c r="E198" s="2" t="str">
        <x:v>F02</x:v>
      </x:c>
      <x:c r="F198" s="2" t="str">
        <x:v>F02</x:v>
      </x:c>
      <x:c r="G198" s="2" t="n">
        <x:f>IF(OR(E198="",F198=""),"",IF(E198=F198,1,0))</x:f>
        <x:v>1</x:v>
      </x:c>
    </x:row>
    <x:row r="199" ht="24" customHeight="1">
      <x:c r="A199" s="2" t="str">
        <x:v>R0368</x:v>
      </x:c>
      <x:c r="B199" s="2" t="str">
        <x:v>open-webui/open-webui</x:v>
      </x:c>
      <x:c r="C199" s="2" t="n">
        <x:v>23269</x:v>
      </x:c>
      <x:c r="D199" s="2" t="str">
        <x:v>C08</x:v>
      </x:c>
      <x:c r="E199" s="2" t="str">
        <x:v>F01</x:v>
      </x:c>
      <x:c r="F199" s="2" t="str">
        <x:v>F01</x:v>
      </x:c>
      <x:c r="G199" s="2" t="n">
        <x:f>IF(OR(E199="",F199=""),"",IF(E199=F199,1,0))</x:f>
        <x:v>1</x:v>
      </x:c>
    </x:row>
    <x:row r="200" ht="24" customHeight="1">
      <x:c r="A200" s="2" t="str">
        <x:v>R0369</x:v>
      </x:c>
      <x:c r="B200" s="2" t="str">
        <x:v>open-webui/open-webui</x:v>
      </x:c>
      <x:c r="C200" s="2" t="n">
        <x:v>23668</x:v>
      </x:c>
      <x:c r="D200" s="2" t="str">
        <x:v>C16</x:v>
      </x:c>
      <x:c r="E200" s="2" t="str">
        <x:v>U1</x:v>
      </x:c>
      <x:c r="F200" s="2" t="str">
        <x:v>F01</x:v>
      </x:c>
      <x:c r="G200" s="2" t="n">
        <x:f>IF(OR(E200="",F200=""),"",IF(E200=F200,1,0))</x:f>
        <x:v>0</x:v>
      </x:c>
    </x:row>
    <x:row r="201" ht="24" customHeight="1">
      <x:c r="A201" s="2" t="str">
        <x:v>R0372</x:v>
      </x:c>
      <x:c r="B201" s="2" t="str">
        <x:v>open-webui/open-webui</x:v>
      </x:c>
      <x:c r="C201" s="2" t="n">
        <x:v>24163</x:v>
      </x:c>
      <x:c r="D201" s="2" t="str">
        <x:v>C16</x:v>
      </x:c>
      <x:c r="E201" s="2" t="str">
        <x:v>U1</x:v>
      </x:c>
      <x:c r="F201" s="2" t="str">
        <x:v>U1</x:v>
      </x:c>
      <x:c r="G201" s="2" t="n">
        <x:f>IF(OR(E201="",F201=""),"",IF(E201=F201,1,0))</x:f>
        <x:v>1</x:v>
      </x:c>
    </x:row>
    <x:row r="202" ht="24" customHeight="1">
      <x:c r="A202" s="2" t="str">
        <x:v>R0378</x:v>
      </x:c>
      <x:c r="B202" s="2" t="str">
        <x:v>open-webui/open-webui</x:v>
      </x:c>
      <x:c r="C202" s="2" t="n">
        <x:v>25710</x:v>
      </x:c>
      <x:c r="D202" s="2" t="str">
        <x:v>C10</x:v>
      </x:c>
      <x:c r="E202" s="2" t="str">
        <x:v>F02</x:v>
      </x:c>
      <x:c r="F202" s="2" t="str">
        <x:v>F02</x:v>
      </x:c>
      <x:c r="G202" s="2" t="n">
        <x:f>IF(OR(E202="",F202=""),"",IF(E202=F202,1,0))</x:f>
        <x:v>1</x:v>
      </x:c>
    </x:row>
    <x:row r="203" ht="24" customHeight="1">
      <x:c r="A203" s="2" t="str">
        <x:v>R0379</x:v>
      </x:c>
      <x:c r="B203" s="2" t="str">
        <x:v>open-webui/open-webui</x:v>
      </x:c>
      <x:c r="C203" s="2" t="n">
        <x:v>26079</x:v>
      </x:c>
      <x:c r="D203" s="2" t="str">
        <x:v>C10</x:v>
      </x:c>
      <x:c r="E203" s="2" t="str">
        <x:v>F03</x:v>
      </x:c>
      <x:c r="F203" s="2" t="str">
        <x:v>F03</x:v>
      </x:c>
      <x:c r="G203" s="2" t="n">
        <x:f>IF(OR(E203="",F203=""),"",IF(E203=F203,1,0))</x:f>
        <x:v>1</x:v>
      </x:c>
    </x:row>
    <x:row r="204" ht="24" customHeight="1">
      <x:c r="A204" s="2" t="str">
        <x:v>R0382</x:v>
      </x:c>
      <x:c r="B204" s="2" t="str">
        <x:v>open-webui/open-webui</x:v>
      </x:c>
      <x:c r="C204" s="2" t="n">
        <x:v>27081</x:v>
      </x:c>
      <x:c r="D204" s="2" t="str">
        <x:v>C01</x:v>
      </x:c>
      <x:c r="E204" s="2" t="str">
        <x:v>F03</x:v>
      </x:c>
      <x:c r="F204" s="2" t="str">
        <x:v>F01</x:v>
      </x:c>
      <x:c r="G204" s="2" t="n">
        <x:f>IF(OR(E204="",F204=""),"",IF(E204=F204,1,0))</x:f>
        <x:v>0</x:v>
      </x:c>
    </x:row>
    <x:row r="205" ht="24" customHeight="1">
      <x:c r="A205" s="2" t="str">
        <x:v>R0384</x:v>
      </x:c>
      <x:c r="B205" s="2" t="str">
        <x:v>open-webui/open-webui</x:v>
      </x:c>
      <x:c r="C205" s="2" t="n">
        <x:v>29040</x:v>
      </x:c>
      <x:c r="D205" s="2" t="str">
        <x:v>C05</x:v>
      </x:c>
      <x:c r="E205" s="2" t="str">
        <x:v>F01</x:v>
      </x:c>
      <x:c r="F205" s="2" t="str">
        <x:v>F01</x:v>
      </x:c>
      <x:c r="G205" s="2" t="n">
        <x:f>IF(OR(E205="",F205=""),"",IF(E205=F205,1,0))</x:f>
        <x:v>1</x:v>
      </x:c>
    </x:row>
    <x:row r="206" ht="24" customHeight="1">
      <x:c r="A206" s="2" t="str">
        <x:v>R0385</x:v>
      </x:c>
      <x:c r="B206" s="2" t="str">
        <x:v>open-webui/open-webui</x:v>
      </x:c>
      <x:c r="C206" s="2" t="n">
        <x:v>29134</x:v>
      </x:c>
      <x:c r="D206" s="2" t="str">
        <x:v>C14</x:v>
      </x:c>
      <x:c r="E206" s="2" t="str">
        <x:v>F02</x:v>
      </x:c>
      <x:c r="F206" s="2" t="str">
        <x:v>F02</x:v>
      </x:c>
      <x:c r="G206" s="2" t="n">
        <x:f>IF(OR(E206="",F206=""),"",IF(E206=F206,1,0))</x:f>
        <x:v>1</x:v>
      </x:c>
    </x:row>
    <x:row r="207" ht="24" customHeight="1">
      <x:c r="A207" s="2" t="str">
        <x:v>R0386</x:v>
      </x:c>
      <x:c r="B207" s="2" t="str">
        <x:v>open-webui/open-webui</x:v>
      </x:c>
      <x:c r="C207" s="2" t="n">
        <x:v>31411</x:v>
      </x:c>
      <x:c r="D207" s="2" t="str">
        <x:v>C05</x:v>
      </x:c>
      <x:c r="E207" s="2" t="str">
        <x:v>F01</x:v>
      </x:c>
      <x:c r="F207" s="2" t="str">
        <x:v>F01</x:v>
      </x:c>
      <x:c r="G207" s="2" t="n">
        <x:f>IF(OR(E207="",F207=""),"",IF(E207=F207,1,0))</x:f>
        <x:v>1</x:v>
      </x:c>
    </x:row>
    <x:row r="208" ht="24" customHeight="1">
      <x:c r="A208" s="2" t="str">
        <x:v>R0387</x:v>
      </x:c>
      <x:c r="B208" s="2" t="str">
        <x:v>open-webui/open-webui</x:v>
      </x:c>
      <x:c r="C208" s="2" t="n">
        <x:v>31566</x:v>
      </x:c>
      <x:c r="D208" s="2" t="str">
        <x:v>C06</x:v>
      </x:c>
      <x:c r="E208" s="2" t="str">
        <x:v>F02</x:v>
      </x:c>
      <x:c r="F208" s="2" t="str">
        <x:v>F02</x:v>
      </x:c>
      <x:c r="G208" s="2" t="n">
        <x:f>IF(OR(E208="",F208=""),"",IF(E208=F208,1,0))</x:f>
        <x:v>1</x:v>
      </x:c>
    </x:row>
    <x:row r="209" ht="24" customHeight="1">
      <x:c r="A209" s="2" t="str">
        <x:v>R0391</x:v>
      </x:c>
      <x:c r="B209" s="2" t="str">
        <x:v>earendil-works/pi</x:v>
      </x:c>
      <x:c r="C209" s="2" t="n">
        <x:v>128</x:v>
      </x:c>
      <x:c r="D209" s="2" t="str">
        <x:v>C20</x:v>
      </x:c>
      <x:c r="E209" s="2" t="str">
        <x:v>F03</x:v>
      </x:c>
      <x:c r="F209" s="2" t="str">
        <x:v>F02</x:v>
      </x:c>
      <x:c r="G209" s="2" t="n">
        <x:f>IF(OR(E209="",F209=""),"",IF(E209=F209,1,0))</x:f>
        <x:v>0</x:v>
      </x:c>
    </x:row>
    <x:row r="210" ht="24" customHeight="1">
      <x:c r="A210" s="2" t="str">
        <x:v>R0392</x:v>
      </x:c>
      <x:c r="B210" s="2" t="str">
        <x:v>earendil-works/pi</x:v>
      </x:c>
      <x:c r="C210" s="2" t="n">
        <x:v>143</x:v>
      </x:c>
      <x:c r="D210" s="2" t="str">
        <x:v>C22</x:v>
      </x:c>
      <x:c r="E210" s="2" t="str">
        <x:v>F01</x:v>
      </x:c>
      <x:c r="F210" s="2" t="str">
        <x:v>F01</x:v>
      </x:c>
      <x:c r="G210" s="2" t="n">
        <x:f>IF(OR(E210="",F210=""),"",IF(E210=F210,1,0))</x:f>
        <x:v>1</x:v>
      </x:c>
    </x:row>
    <x:row r="211" ht="24" customHeight="1">
      <x:c r="A211" s="2" t="str">
        <x:v>R0393</x:v>
      </x:c>
      <x:c r="B211" s="2" t="str">
        <x:v>earendil-works/pi</x:v>
      </x:c>
      <x:c r="C211" s="2" t="n">
        <x:v>198</x:v>
      </x:c>
      <x:c r="D211" s="2" t="str">
        <x:v>C05</x:v>
      </x:c>
      <x:c r="E211" s="2" t="str">
        <x:v>F01</x:v>
      </x:c>
      <x:c r="F211" s="2" t="str">
        <x:v>F01</x:v>
      </x:c>
      <x:c r="G211" s="2" t="n">
        <x:f>IF(OR(E211="",F211=""),"",IF(E211=F211,1,0))</x:f>
        <x:v>1</x:v>
      </x:c>
    </x:row>
    <x:row r="212" ht="24" customHeight="1">
      <x:c r="A212" s="2" t="str">
        <x:v>R0397</x:v>
      </x:c>
      <x:c r="B212" s="2" t="str">
        <x:v>earendil-works/pi</x:v>
      </x:c>
      <x:c r="C212" s="2" t="n">
        <x:v>1430</x:v>
      </x:c>
      <x:c r="D212" s="2" t="str">
        <x:v>C10</x:v>
      </x:c>
      <x:c r="E212" s="2" t="str">
        <x:v>F03</x:v>
      </x:c>
      <x:c r="F212" s="2" t="str">
        <x:v>F03</x:v>
      </x:c>
      <x:c r="G212" s="2" t="n">
        <x:f>IF(OR(E212="",F212=""),"",IF(E212=F212,1,0))</x:f>
        <x:v>1</x:v>
      </x:c>
    </x:row>
    <x:row r="213" ht="24" customHeight="1">
      <x:c r="A213" s="2" t="str">
        <x:v>R0400</x:v>
      </x:c>
      <x:c r="B213" s="2" t="str">
        <x:v>earendil-works/pi</x:v>
      </x:c>
      <x:c r="C213" s="2" t="n">
        <x:v>1816</x:v>
      </x:c>
      <x:c r="D213" s="2" t="str">
        <x:v>C02</x:v>
      </x:c>
      <x:c r="E213" s="2" t="str">
        <x:v>F03</x:v>
      </x:c>
      <x:c r="F213" s="2" t="str">
        <x:v>F03</x:v>
      </x:c>
      <x:c r="G213" s="2" t="n">
        <x:f>IF(OR(E213="",F213=""),"",IF(E213=F213,1,0))</x:f>
        <x:v>1</x:v>
      </x:c>
    </x:row>
    <x:row r="214" ht="24" customHeight="1">
      <x:c r="A214" s="2" t="str">
        <x:v>R0402</x:v>
      </x:c>
      <x:c r="B214" s="2" t="str">
        <x:v>earendil-works/pi</x:v>
      </x:c>
      <x:c r="C214" s="2" t="n">
        <x:v>2052</x:v>
      </x:c>
      <x:c r="D214" s="2" t="str">
        <x:v>C04</x:v>
      </x:c>
      <x:c r="E214" s="2" t="str">
        <x:v>F01</x:v>
      </x:c>
      <x:c r="F214" s="2" t="str">
        <x:v>F01</x:v>
      </x:c>
      <x:c r="G214" s="2" t="n">
        <x:f>IF(OR(E214="",F214=""),"",IF(E214=F214,1,0))</x:f>
        <x:v>1</x:v>
      </x:c>
    </x:row>
    <x:row r="215" ht="24" customHeight="1">
      <x:c r="A215" s="2" t="str">
        <x:v>R0405</x:v>
      </x:c>
      <x:c r="B215" s="2" t="str">
        <x:v>earendil-works/pi</x:v>
      </x:c>
      <x:c r="C215" s="2" t="n">
        <x:v>2383</x:v>
      </x:c>
      <x:c r="D215" s="2" t="str">
        <x:v>C12</x:v>
      </x:c>
      <x:c r="E215" s="2" t="str">
        <x:v>F02</x:v>
      </x:c>
      <x:c r="F215" s="2" t="str">
        <x:v>F02</x:v>
      </x:c>
      <x:c r="G215" s="2" t="n">
        <x:f>IF(OR(E215="",F215=""),"",IF(E215=F215,1,0))</x:f>
        <x:v>1</x:v>
      </x:c>
    </x:row>
    <x:row r="216" ht="24" customHeight="1">
      <x:c r="A216" s="2" t="str">
        <x:v>R0406</x:v>
      </x:c>
      <x:c r="B216" s="2" t="str">
        <x:v>earendil-works/pi</x:v>
      </x:c>
      <x:c r="C216" s="2" t="n">
        <x:v>2395</x:v>
      </x:c>
      <x:c r="D216" s="2" t="str">
        <x:v>C18</x:v>
      </x:c>
      <x:c r="E216" s="2" t="str">
        <x:v>F03</x:v>
      </x:c>
      <x:c r="F216" s="2" t="str">
        <x:v>F03</x:v>
      </x:c>
      <x:c r="G216" s="2" t="n">
        <x:f>IF(OR(E216="",F216=""),"",IF(E216=F216,1,0))</x:f>
        <x:v>1</x:v>
      </x:c>
    </x:row>
    <x:row r="217" ht="24" customHeight="1">
      <x:c r="A217" s="2" t="str">
        <x:v>R0409</x:v>
      </x:c>
      <x:c r="B217" s="2" t="str">
        <x:v>earendil-works/pi</x:v>
      </x:c>
      <x:c r="C217" s="2" t="n">
        <x:v>2677</x:v>
      </x:c>
      <x:c r="D217" s="2" t="str">
        <x:v>C10</x:v>
      </x:c>
      <x:c r="E217" s="2" t="str">
        <x:v>F02</x:v>
      </x:c>
      <x:c r="F217" s="2" t="str">
        <x:v>F02</x:v>
      </x:c>
      <x:c r="G217" s="2" t="n">
        <x:f>IF(OR(E217="",F217=""),"",IF(E217=F217,1,0))</x:f>
        <x:v>1</x:v>
      </x:c>
    </x:row>
    <x:row r="218" ht="24" customHeight="1">
      <x:c r="A218" s="2" t="str">
        <x:v>R0410</x:v>
      </x:c>
      <x:c r="B218" s="2" t="str">
        <x:v>earendil-works/pi</x:v>
      </x:c>
      <x:c r="C218" s="2" t="n">
        <x:v>2719</x:v>
      </x:c>
      <x:c r="D218" s="2" t="str">
        <x:v>C19</x:v>
      </x:c>
      <x:c r="E218" s="2" t="str">
        <x:v>F02</x:v>
      </x:c>
      <x:c r="F218" s="2" t="str">
        <x:v>F02</x:v>
      </x:c>
      <x:c r="G218" s="2" t="n">
        <x:f>IF(OR(E218="",F218=""),"",IF(E218=F218,1,0))</x:f>
        <x:v>1</x:v>
      </x:c>
    </x:row>
    <x:row r="219" ht="24" customHeight="1">
      <x:c r="A219" s="2" t="str">
        <x:v>R0413</x:v>
      </x:c>
      <x:c r="B219" s="2" t="str">
        <x:v>earendil-works/pi</x:v>
      </x:c>
      <x:c r="C219" s="2" t="n">
        <x:v>3358</x:v>
      </x:c>
      <x:c r="D219" s="2" t="str">
        <x:v>C23</x:v>
      </x:c>
      <x:c r="E219" s="2" t="str">
        <x:v>F01</x:v>
      </x:c>
      <x:c r="F219" s="2" t="str">
        <x:v>F01</x:v>
      </x:c>
      <x:c r="G219" s="2" t="n">
        <x:f>IF(OR(E219="",F219=""),"",IF(E219=F219,1,0))</x:f>
        <x:v>1</x:v>
      </x:c>
    </x:row>
    <x:row r="220" ht="24" customHeight="1">
      <x:c r="A220" s="2" t="str">
        <x:v>R0415</x:v>
      </x:c>
      <x:c r="B220" s="2" t="str">
        <x:v>earendil-works/pi</x:v>
      </x:c>
      <x:c r="C220" s="2" t="n">
        <x:v>3552</x:v>
      </x:c>
      <x:c r="D220" s="2" t="str">
        <x:v>C15</x:v>
      </x:c>
      <x:c r="E220" s="2" t="str">
        <x:v>F03</x:v>
      </x:c>
      <x:c r="F220" s="2" t="str">
        <x:v>F03</x:v>
      </x:c>
      <x:c r="G220" s="2" t="n">
        <x:f>IF(OR(E220="",F220=""),"",IF(E220=F220,1,0))</x:f>
        <x:v>1</x:v>
      </x:c>
    </x:row>
    <x:row r="221" ht="24" customHeight="1">
      <x:c r="A221" s="2" t="str">
        <x:v>R0416</x:v>
      </x:c>
      <x:c r="B221" s="2" t="str">
        <x:v>earendil-works/pi</x:v>
      </x:c>
      <x:c r="C221" s="2" t="n">
        <x:v>3811</x:v>
      </x:c>
      <x:c r="D221" s="2" t="str">
        <x:v>C15</x:v>
      </x:c>
      <x:c r="E221" s="2" t="str">
        <x:v>F03</x:v>
      </x:c>
      <x:c r="F221" s="2" t="str">
        <x:v>F03</x:v>
      </x:c>
      <x:c r="G221" s="2" t="n">
        <x:f>IF(OR(E221="",F221=""),"",IF(E221=F221,1,0))</x:f>
        <x:v>1</x:v>
      </x:c>
    </x:row>
    <x:row r="222" ht="24" customHeight="1">
      <x:c r="A222" s="2" t="str">
        <x:v>R0417</x:v>
      </x:c>
      <x:c r="B222" s="2" t="str">
        <x:v>earendil-works/pi</x:v>
      </x:c>
      <x:c r="C222" s="2" t="n">
        <x:v>4226</x:v>
      </x:c>
      <x:c r="D222" s="2" t="str">
        <x:v>C02</x:v>
      </x:c>
      <x:c r="E222" s="2" t="str">
        <x:v>U1</x:v>
      </x:c>
      <x:c r="F222" s="2" t="str">
        <x:v>U1</x:v>
      </x:c>
      <x:c r="G222" s="2" t="n">
        <x:f>IF(OR(E222="",F222=""),"",IF(E222=F222,1,0))</x:f>
        <x:v>1</x:v>
      </x:c>
    </x:row>
    <x:row r="223" ht="24" customHeight="1">
      <x:c r="A223" s="2" t="str">
        <x:v>R0418</x:v>
      </x:c>
      <x:c r="B223" s="2" t="str">
        <x:v>earendil-works/pi</x:v>
      </x:c>
      <x:c r="C223" s="2" t="n">
        <x:v>4311</x:v>
      </x:c>
      <x:c r="D223" s="2" t="str">
        <x:v>C04</x:v>
      </x:c>
      <x:c r="E223" s="2" t="str">
        <x:v>F03</x:v>
      </x:c>
      <x:c r="F223" s="2" t="str">
        <x:v>F03</x:v>
      </x:c>
      <x:c r="G223" s="2" t="n">
        <x:f>IF(OR(E223="",F223=""),"",IF(E223=F223,1,0))</x:f>
        <x:v>1</x:v>
      </x:c>
    </x:row>
    <x:row r="224" ht="24" customHeight="1">
      <x:c r="A224" s="2" t="str">
        <x:v>R0419</x:v>
      </x:c>
      <x:c r="B224" s="2" t="str">
        <x:v>earendil-works/pi</x:v>
      </x:c>
      <x:c r="C224" s="2" t="n">
        <x:v>4340</x:v>
      </x:c>
      <x:c r="D224" s="2" t="str">
        <x:v>C20</x:v>
      </x:c>
      <x:c r="E224" s="2" t="str">
        <x:v>F04</x:v>
      </x:c>
      <x:c r="F224" s="2" t="str">
        <x:v>F04</x:v>
      </x:c>
      <x:c r="G224" s="2" t="n">
        <x:f>IF(OR(E224="",F224=""),"",IF(E224=F224,1,0))</x:f>
        <x:v>1</x:v>
      </x:c>
    </x:row>
    <x:row r="225" ht="24" customHeight="1">
      <x:c r="A225" s="2" t="str">
        <x:v>R0425</x:v>
      </x:c>
      <x:c r="B225" s="2" t="str">
        <x:v>earendil-works/pi</x:v>
      </x:c>
      <x:c r="C225" s="2" t="n">
        <x:v>4761</x:v>
      </x:c>
      <x:c r="D225" s="2" t="str">
        <x:v>C16</x:v>
      </x:c>
      <x:c r="E225" s="2" t="str">
        <x:v>F01</x:v>
      </x:c>
      <x:c r="F225" s="2" t="str">
        <x:v>F01</x:v>
      </x:c>
      <x:c r="G225" s="2" t="n">
        <x:f>IF(OR(E225="",F225=""),"",IF(E225=F225,1,0))</x:f>
        <x:v>1</x:v>
      </x:c>
    </x:row>
    <x:row r="226" ht="24" customHeight="1">
      <x:c r="A226" s="2" t="str">
        <x:v>R0426</x:v>
      </x:c>
      <x:c r="B226" s="2" t="str">
        <x:v>earendil-works/pi</x:v>
      </x:c>
      <x:c r="C226" s="2" t="n">
        <x:v>4932</x:v>
      </x:c>
      <x:c r="D226" s="2" t="str">
        <x:v>C04</x:v>
      </x:c>
      <x:c r="E226" s="2" t="str">
        <x:v>F01</x:v>
      </x:c>
      <x:c r="F226" s="2" t="str">
        <x:v>F01</x:v>
      </x:c>
      <x:c r="G226" s="2" t="n">
        <x:f>IF(OR(E226="",F226=""),"",IF(E226=F226,1,0))</x:f>
        <x:v>1</x:v>
      </x:c>
    </x:row>
    <x:row r="227" ht="24" customHeight="1">
      <x:c r="A227" s="2" t="str">
        <x:v>R0429</x:v>
      </x:c>
      <x:c r="B227" s="2" t="str">
        <x:v>earendil-works/pi</x:v>
      </x:c>
      <x:c r="C227" s="2" t="n">
        <x:v>5289</x:v>
      </x:c>
      <x:c r="D227" s="2" t="str">
        <x:v>C01</x:v>
      </x:c>
      <x:c r="E227" s="2" t="str">
        <x:v>F03</x:v>
      </x:c>
      <x:c r="F227" s="2" t="str">
        <x:v>F03</x:v>
      </x:c>
      <x:c r="G227" s="2" t="n">
        <x:f>IF(OR(E227="",F227=""),"",IF(E227=F227,1,0))</x:f>
        <x:v>1</x:v>
      </x:c>
    </x:row>
    <x:row r="228" ht="24" customHeight="1">
      <x:c r="A228" s="2" t="str">
        <x:v>R0431</x:v>
      </x:c>
      <x:c r="B228" s="2" t="str">
        <x:v>earendil-works/pi</x:v>
      </x:c>
      <x:c r="C228" s="2" t="n">
        <x:v>5940</x:v>
      </x:c>
      <x:c r="D228" s="2" t="str">
        <x:v>C11</x:v>
      </x:c>
      <x:c r="E228" s="2" t="str">
        <x:v>F02</x:v>
      </x:c>
      <x:c r="F228" s="2" t="str">
        <x:v>F02</x:v>
      </x:c>
      <x:c r="G228" s="2" t="n">
        <x:f>IF(OR(E228="",F228=""),"",IF(E228=F228,1,0))</x:f>
        <x:v>1</x:v>
      </x:c>
    </x:row>
    <x:row r="229" ht="24" customHeight="1">
      <x:c r="A229" s="2" t="str">
        <x:v>R0433</x:v>
      </x:c>
      <x:c r="B229" s="2" t="str">
        <x:v>earendil-works/pi</x:v>
      </x:c>
      <x:c r="C229" s="2" t="n">
        <x:v>6276</x:v>
      </x:c>
      <x:c r="D229" s="2" t="str">
        <x:v>C12</x:v>
      </x:c>
      <x:c r="E229" s="2" t="str">
        <x:v>F03</x:v>
      </x:c>
      <x:c r="F229" s="2" t="str">
        <x:v>F03</x:v>
      </x:c>
      <x:c r="G229" s="2" t="n">
        <x:f>IF(OR(E229="",F229=""),"",IF(E229=F229,1,0))</x:f>
        <x:v>1</x:v>
      </x:c>
    </x:row>
    <x:row r="230" ht="24" customHeight="1">
      <x:c r="A230" s="2" t="str">
        <x:v>R0443</x:v>
      </x:c>
      <x:c r="B230" s="2" t="str">
        <x:v>earendil-works/pi</x:v>
      </x:c>
      <x:c r="C230" s="2" t="n">
        <x:v>7782</x:v>
      </x:c>
      <x:c r="D230" s="2" t="str">
        <x:v>C02</x:v>
      </x:c>
      <x:c r="E230" s="2" t="str">
        <x:v>F03</x:v>
      </x:c>
      <x:c r="F230" s="2" t="str">
        <x:v>F01</x:v>
      </x:c>
      <x:c r="G230" s="2" t="n">
        <x:f>IF(OR(E230="",F230=""),"",IF(E230=F230,1,0))</x:f>
        <x:v>0</x:v>
      </x:c>
    </x:row>
    <x:row r="231" ht="24" customHeight="1">
      <x:c r="A231" s="2" t="str">
        <x:v>R0444</x:v>
      </x:c>
      <x:c r="B231" s="2" t="str">
        <x:v>earendil-works/pi</x:v>
      </x:c>
      <x:c r="C231" s="2" t="n">
        <x:v>7835</x:v>
      </x:c>
      <x:c r="D231" s="2" t="str">
        <x:v>C02</x:v>
      </x:c>
      <x:c r="E231" s="2" t="str">
        <x:v>F01</x:v>
      </x:c>
      <x:c r="F231" s="2" t="str">
        <x:v>F01</x:v>
      </x:c>
      <x:c r="G231" s="2" t="n">
        <x:f>IF(OR(E231="",F231=""),"",IF(E231=F231,1,0))</x:f>
        <x:v>1</x:v>
      </x:c>
    </x:row>
    <x:row r="232" ht="24" customHeight="1">
      <x:c r="A232" s="2" t="str">
        <x:v>R0445</x:v>
      </x:c>
      <x:c r="B232" s="2" t="str">
        <x:v>earendil-works/pi</x:v>
      </x:c>
      <x:c r="C232" s="2" t="n">
        <x:v>8063</x:v>
      </x:c>
      <x:c r="D232" s="2" t="str">
        <x:v>C04</x:v>
      </x:c>
      <x:c r="E232" s="2" t="str">
        <x:v>F01</x:v>
      </x:c>
      <x:c r="F232" s="2" t="str">
        <x:v>F01</x:v>
      </x:c>
      <x:c r="G232" s="2" t="n">
        <x:f>IF(OR(E232="",F232=""),"",IF(E232=F232,1,0))</x:f>
        <x:v>1</x:v>
      </x:c>
    </x:row>
    <x:row r="233" ht="24" customHeight="1">
      <x:c r="A233" s="2" t="str">
        <x:v>R0454</x:v>
      </x:c>
      <x:c r="B233" s="2" t="str">
        <x:v>earendil-works/pi</x:v>
      </x:c>
      <x:c r="C233" s="2" t="n">
        <x:v>9320</x:v>
      </x:c>
      <x:c r="D233" s="2" t="str">
        <x:v>C19</x:v>
      </x:c>
      <x:c r="E233" s="2" t="str">
        <x:v>F03</x:v>
      </x:c>
      <x:c r="F233" s="2" t="str">
        <x:v>F03</x:v>
      </x:c>
      <x:c r="G233" s="2" t="n">
        <x:f>IF(OR(E233="",F233=""),"",IF(E233=F233,1,0))</x:f>
        <x:v>1</x:v>
      </x:c>
    </x:row>
    <x:row r="234" ht="24" customHeight="1">
      <x:c r="A234" s="2" t="str">
        <x:v>R0455</x:v>
      </x:c>
      <x:c r="B234" s="2" t="str">
        <x:v>earendil-works/pi</x:v>
      </x:c>
      <x:c r="C234" s="2" t="n">
        <x:v>9377</x:v>
      </x:c>
      <x:c r="D234" s="2" t="str">
        <x:v>C11</x:v>
      </x:c>
      <x:c r="E234" s="2" t="str">
        <x:v>F03</x:v>
      </x:c>
      <x:c r="F234" s="2" t="str">
        <x:v>F03</x:v>
      </x:c>
      <x:c r="G234" s="2" t="n">
        <x:f>IF(OR(E234="",F234=""),"",IF(E234=F234,1,0))</x:f>
        <x:v>1</x:v>
      </x:c>
    </x:row>
    <x:row r="235" ht="24" customHeight="1">
      <x:c r="A235" s="2" t="str">
        <x:v>R0465</x:v>
      </x:c>
      <x:c r="B235" s="2" t="str">
        <x:v>earendil-works/pi</x:v>
      </x:c>
      <x:c r="C235" s="2" t="n">
        <x:v>9953</x:v>
      </x:c>
      <x:c r="D235" s="2" t="str">
        <x:v>C04</x:v>
      </x:c>
      <x:c r="E235" s="2" t="str">
        <x:v>F03</x:v>
      </x:c>
      <x:c r="F235" s="2" t="str">
        <x:v>F03</x:v>
      </x:c>
      <x:c r="G235" s="2" t="n">
        <x:f>IF(OR(E235="",F235=""),"",IF(E235=F235,1,0))</x:f>
        <x:v>1</x:v>
      </x:c>
    </x:row>
    <x:row r="236" ht="24" customHeight="1">
      <x:c r="A236" s="2" t="str">
        <x:v>R0467</x:v>
      </x:c>
      <x:c r="B236" s="2" t="str">
        <x:v>earendil-works/pi</x:v>
      </x:c>
      <x:c r="C236" s="2" t="n">
        <x:v>10239</x:v>
      </x:c>
      <x:c r="D236" s="2" t="str">
        <x:v>C05</x:v>
      </x:c>
      <x:c r="E236" s="2" t="str">
        <x:v>F01</x:v>
      </x:c>
      <x:c r="F236" s="2" t="str">
        <x:v>F01</x:v>
      </x:c>
      <x:c r="G236" s="2" t="n">
        <x:f>IF(OR(E236="",F236=""),"",IF(E236=F236,1,0))</x:f>
        <x:v>1</x:v>
      </x:c>
    </x:row>
    <x:row r="237" ht="24" customHeight="1">
      <x:c r="A237" s="2" t="str">
        <x:v>R0470</x:v>
      </x:c>
      <x:c r="B237" s="2" t="str">
        <x:v>earendil-works/pi</x:v>
      </x:c>
      <x:c r="C237" s="2" t="n">
        <x:v>10424</x:v>
      </x:c>
      <x:c r="D237" s="2" t="str">
        <x:v>C03</x:v>
      </x:c>
      <x:c r="E237" s="2" t="str">
        <x:v>F01</x:v>
      </x:c>
      <x:c r="F237" s="2" t="str">
        <x:v>F01</x:v>
      </x:c>
      <x:c r="G237" s="2" t="n">
        <x:f>IF(OR(E237="",F237=""),"",IF(E237=F237,1,0))</x:f>
        <x:v>1</x:v>
      </x:c>
    </x:row>
  </x:sheetData>
  <x:pageMargins left="0.7" right="0.7" top="0.75" bottom="0.75" header="0.3" footer="0.3"/>
  <x:tableParts count="1">
    <x:tablePart xmlns:r="http://schemas.openxmlformats.org/officeDocument/2006/relationships" r:id="R9024e8a535db4ccc"/>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4" hidden="0" customWidth="1"/>
    <x:col min="3" max="3" width="12" hidden="0" customWidth="1"/>
    <x:col min="4" max="4" width="12" hidden="0" customWidth="1"/>
    <x:col min="5" max="5" width="14" hidden="0" customWidth="1"/>
    <x:col min="6" max="6" width="14" hidden="0" customWidth="1"/>
    <x:col min="7" max="7" width="18" hidden="0" customWidth="1"/>
    <x:col min="8" max="8" width="32" hidden="0" customWidth="1"/>
    <x:col min="9" max="9" width="24" hidden="0" customWidth="1"/>
    <x:col min="10" max="10" width="65" hidden="0" customWidth="1"/>
    <x:col min="11" max="11" width="80" hidden="0" customWidth="1"/>
    <x:col min="12" max="12" width="100" hidden="0" customWidth="1"/>
    <x:col min="13" max="13" width="65" hidden="0" customWidth="1"/>
    <x:col min="14" max="14" width="18" hidden="0" customWidth="1"/>
    <x:col min="15" max="15" width="28" hidden="0" customWidth="1"/>
  </x:cols>
  <x:sheetData>
    <x:row r="1" ht="42" customHeight="1">
      <x:c r="A1" s="1" t="str">
        <x:v>Record ID</x:v>
      </x:c>
      <x:c r="B1" s="1" t="str">
        <x:v>Repository</x:v>
      </x:c>
      <x:c r="C1" s="1" t="str">
        <x:v>Issue</x:v>
      </x:c>
      <x:c r="D1" s="1" t="str">
        <x:v>Root-cause ID</x:v>
      </x:c>
      <x:c r="E1" s="1" t="str">
        <x:v>Round A original label</x:v>
      </x:c>
      <x:c r="F1" s="1" t="str">
        <x:v>Round B original label</x:v>
      </x:c>
      <x:c r="G1" s="1" t="str">
        <x:v>Single final label</x:v>
      </x:c>
      <x:c r="H1" s="1" t="str">
        <x:v>Repair strategy</x:v>
      </x:c>
      <x:c r="I1" s="1" t="str">
        <x:v>Implementation status</x:v>
      </x:c>
      <x:c r="J1" s="1" t="str">
        <x:v>Implemented or proposed repair action</x:v>
      </x:c>
      <x:c r="K1" s="1" t="str">
        <x:v>Assignment rationale</x:v>
      </x:c>
      <x:c r="L1" s="1" t="str">
        <x:v>Final review record</x:v>
      </x:c>
      <x:c r="M1" s="1" t="str">
        <x:v>URL</x:v>
      </x:c>
      <x:c r="N1" s="1" t="str">
        <x:v>Evidence-review label</x:v>
      </x:c>
      <x:c r="O1" s="1" t="str">
        <x:v>Assignment type</x:v>
      </x:c>
    </x:row>
    <x:row r="2" ht="48.5" customHeight="1">
      <x:c r="A2" s="2" t="str">
        <x:v>P0132</x:v>
      </x:c>
      <x:c r="B2" s="2" t="str">
        <x:v>NousResearch/hermes-agent</x:v>
      </x:c>
      <x:c r="C2" s="2" t="n">
        <x:v>703</x:v>
      </x:c>
      <x:c r="D2" s="2" t="str">
        <x:v>C23</x:v>
      </x:c>
      <x:c r="E2" s="2" t="str">
        <x:v>F02</x:v>
      </x:c>
      <x:c r="F2" s="2" t="str">
        <x:v>F02</x:v>
      </x:c>
      <x:c r="G2" s="2" t="str">
        <x:v>F02</x:v>
      </x:c>
      <x:c r="H2" s="2" t="str">
        <x:v>Execution-flow and state correction</x:v>
      </x:c>
      <x:c r="I2" s="2" t="str">
        <x:v>Recorded as implemented in the source data</x:v>
      </x:c>
      <x:c r="J2" s="2" t="str">
        <x:v>Initializing the list command to add invocation directories</x:v>
      </x:c>
      <x:c r="K2" s="2" t="str">
        <x:v>The focus is state selection, execution progression, scope, or lifecycle management in the normal path.  Specific action: Initialize the invocation directory with a list command.  root cause response: To actually establish the required directories by order of a doctor, eliminating inconsistencies with instructions and entry</x:v>
      </x:c>
      <x:c r="L2" s="2" t="str">
        <x:v>The two sets of labels agree and the original decision is retained; see the original annotations for the action and its association with the root cause.</x:v>
      </x:c>
      <x:c r="M2" s="2" t="str">
        <x:v>https://github.com/NousResearch/hermes-agent/issues/703</x:v>
      </x:c>
      <x:c r="N2" s="2" t="str">
        <x:v>F02</x:v>
      </x:c>
      <x:c r="O2" s="2" t="str">
        <x:v>Determinate from available evidence</x:v>
      </x:c>
    </x:row>
    <x:row r="3" ht="35" customHeight="1">
      <x:c r="A3" s="2" t="str">
        <x:v>P0241</x:v>
      </x:c>
      <x:c r="B3" s="2" t="str">
        <x:v>NousResearch/hermes-agent</x:v>
      </x:c>
      <x:c r="C3" s="2" t="n">
        <x:v>75280</x:v>
      </x:c>
      <x:c r="D3" s="2" t="str">
        <x:v>C11</x:v>
      </x:c>
      <x:c r="E3" s="2" t="str">
        <x:v>F02</x:v>
      </x:c>
      <x:c r="F3" s="2" t="str">
        <x:v>F02</x:v>
      </x:c>
      <x:c r="G3" s="2" t="str">
        <x:v>F02</x:v>
      </x:c>
      <x:c r="H3" s="2" t="str">
        <x:v>Execution-flow and state correction</x:v>
      </x:c>
      <x:c r="I3" s="2" t="str">
        <x:v>Recorded as implemented in the source data</x:v>
      </x:c>
      <x:c r="J3" s="2" t="str">
        <x:v>Keeping mission logs and adjusting lock clearance order</x:v>
      </x:c>
      <x:c r="K3" s="2" t="str">
        <x:v>exclusive done_callback unincorporated; guard mismatch reservation task-sharing correction with explicitly cited, excluding the exclusive candidate landing.</x:v>
      </x:c>
      <x:c r="L3" s="2" t="str">
        <x:v>Integrated task back-checking freeze source material: exclusive done_callback not merged; guard mismatch reservation task sharing repair using explicitly cited, excluding exclusive candidates as landing.</x:v>
      </x:c>
      <x:c r="M3" s="2" t="str">
        <x:v>https://github.com/NousResearch/hermes-agent/issues/75280</x:v>
      </x:c>
      <x:c r="N3" s="2" t="str">
        <x:v>F02</x:v>
      </x:c>
      <x:c r="O3" s="2" t="str">
        <x:v>Determinate from available evidence</x:v>
      </x:c>
    </x:row>
    <x:row r="4" ht="35" customHeight="1">
      <x:c r="A4" s="2" t="str">
        <x:v>P0240</x:v>
      </x:c>
      <x:c r="B4" s="2" t="str">
        <x:v>NousResearch/hermes-agent</x:v>
      </x:c>
      <x:c r="C4" s="2" t="n">
        <x:v>73841</x:v>
      </x:c>
      <x:c r="D4" s="2" t="str">
        <x:v>C21</x:v>
      </x:c>
      <x:c r="E4" s="2" t="str">
        <x:v>F04</x:v>
      </x:c>
      <x:c r="F4" s="2" t="str">
        <x:v>F04</x:v>
      </x:c>
      <x:c r="G4" s="2" t="str">
        <x:v>F04</x:v>
      </x:c>
      <x:c r="H4" s="2" t="str">
        <x:v>Environment and distribution adaptation</x:v>
      </x:c>
      <x:c r="I4" s="2" t="str">
        <x:v>Recorded as implemented in the source data</x:v>
      </x:c>
      <x:c r="J4" s="2" t="str">
        <x:v>Replicate the nested sub-paths according to the ownership white list</x:v>
      </x:c>
      <x:c r="K4" s="2" t="str">
        <x:v>The focus is platform prerequisites, build dependencies, deployment, or installation/distribution artifacts.  Concrete action: Copy the nested paths according to the ownership whitelist.    root cause Corresponding: Avoid replacement of whole directory with user equivalent Skill</x:v>
      </x:c>
      <x:c r="L4" s="2" t="str">
        <x:v>The two sets of labels agree and the original decision is retained; see the original annotations for the action and its association with the root cause.</x:v>
      </x:c>
      <x:c r="M4" s="2" t="str">
        <x:v>https://github.com/NousResearch/hermes-agent/issues/73841</x:v>
      </x:c>
      <x:c r="N4" s="2" t="str">
        <x:v>F04</x:v>
      </x:c>
      <x:c r="O4" s="2" t="str">
        <x:v>Determinate from available evidence</x:v>
      </x:c>
    </x:row>
    <x:row r="5" ht="48.5" customHeight="1">
      <x:c r="A5" s="2" t="str">
        <x:v>P0239</x:v>
      </x:c>
      <x:c r="B5" s="2" t="str">
        <x:v>NousResearch/hermes-agent</x:v>
      </x:c>
      <x:c r="C5" s="2" t="n">
        <x:v>73388</x:v>
      </x:c>
      <x:c r="D5" s="2" t="str">
        <x:v>C10</x:v>
      </x:c>
      <x:c r="E5" s="2" t="str">
        <x:v>F02</x:v>
      </x:c>
      <x:c r="F5" s="2" t="str">
        <x:v>F02</x:v>
      </x:c>
      <x:c r="G5" s="2" t="str">
        <x:v>F02</x:v>
      </x:c>
      <x:c r="H5" s="2" t="str">
        <x:v>Execution-flow and state correction</x:v>
      </x:c>
      <x:c r="I5" s="2" t="str">
        <x:v>Candidate change not merged</x:v>
      </x:c>
      <x:c r="J5" s="2" t="str">
        <x:v>Bridge invocation decommissioning and direct distribution of tool</x:v>
      </x:c>
      <x:c r="K5" s="2" t="str">
        <x:v>The focus is state selection, execution progression, scope, or lifecycle management in the normal path.  Specific action: Bridge invocation to distribute tool directly after decommissioning.    root cause Corresponding: misdirected into the bridge eager tool Send to executor</x:v>
      </x:c>
      <x:c r="L5" s="2" t="str">
        <x:v>The two sets of labels agree and the original decision is retained; see the original annotations for the action and its association with the root cause.</x:v>
      </x:c>
      <x:c r="M5" s="2" t="str">
        <x:v>https://github.com/NousResearch/hermes-agent/issues/73388</x:v>
      </x:c>
      <x:c r="N5" s="2" t="str">
        <x:v>F02</x:v>
      </x:c>
      <x:c r="O5" s="2" t="str">
        <x:v>Determinate from available evidence</x:v>
      </x:c>
    </x:row>
    <x:row r="6" ht="48.5" customHeight="1">
      <x:c r="A6" s="2" t="str">
        <x:v>P0238</x:v>
      </x:c>
      <x:c r="B6" s="2" t="str">
        <x:v>NousResearch/hermes-agent</x:v>
      </x:c>
      <x:c r="C6" s="2" t="n">
        <x:v>72495</x:v>
      </x:c>
      <x:c r="D6" s="2" t="str">
        <x:v>C20</x:v>
      </x:c>
      <x:c r="E6" s="2" t="str">
        <x:v>F02</x:v>
      </x:c>
      <x:c r="F6" s="2" t="str">
        <x:v>F02</x:v>
      </x:c>
      <x:c r="G6" s="2" t="str">
        <x:v>F02</x:v>
      </x:c>
      <x:c r="H6" s="2" t="str">
        <x:v>Execution-flow and state correction</x:v>
      </x:c>
      <x:c r="I6" s="2" t="str">
        <x:v>Recorded as implemented in the source data</x:v>
      </x:c>
      <x:c r="J6" s="2" t="str">
        <x:v>Creating and reusing Skill directory indexes</x:v>
      </x:c>
      <x:c r="K6" s="2" t="str">
        <x:v>The focus is state selection, execution progression, scope, or lifecycle management in the normal path.  Specific action: Create and reuse Skill directory indexes.  root cause Response: Replace each Skill with a single directory scan to find the recurrence</x:v>
      </x:c>
      <x:c r="L6" s="2" t="str">
        <x:v>The two sets of labels agree and the original decision is retained; see the original annotations for the action and its association with the root cause.</x:v>
      </x:c>
      <x:c r="M6" s="2" t="str">
        <x:v>https://github.com/NousResearch/hermes-agent/issues/72495</x:v>
      </x:c>
      <x:c r="N6" s="2" t="str">
        <x:v>F02</x:v>
      </x:c>
      <x:c r="O6" s="2" t="str">
        <x:v>Determinate from available evidence</x:v>
      </x:c>
    </x:row>
    <x:row r="7" ht="35" customHeight="1">
      <x:c r="A7" s="2" t="str">
        <x:v>P0235</x:v>
      </x:c>
      <x:c r="B7" s="2" t="str">
        <x:v>NousResearch/hermes-agent</x:v>
      </x:c>
      <x:c r="C7" s="2" t="n">
        <x:v>67397</x:v>
      </x:c>
      <x:c r="D7" s="2" t="str">
        <x:v>C16</x:v>
      </x:c>
      <x:c r="E7" s="2" t="str">
        <x:v>F03</x:v>
      </x:c>
      <x:c r="F7" s="2" t="str">
        <x:v>F03</x:v>
      </x:c>
      <x:c r="G7" s="2" t="str">
        <x:v>F03</x:v>
      </x:c>
      <x:c r="H7" s="2" t="str">
        <x:v>Validation and failure-path hardening</x:v>
      </x:c>
      <x:c r="I7" s="2" t="str">
        <x:v>Recorded as implemented in the source data</x:v>
      </x:c>
      <x:c r="J7" s="2" t="str">
        <x:v>Completing the legitimate configuration of the root key white list</x:v>
      </x:c>
      <x:c r="K7" s="2" t="str">
        <x:v>The focus is validation, controlled rejection, exception classification, or fallback after failure.  Concrete action: Completing the legitimately configured root key white list.  root cause response: Calculator recognizes the actual read-write keys of the system, eliminating misrepresentation</x:v>
      </x:c>
      <x:c r="L7" s="2" t="str">
        <x:v>The two sets of labels agree and the original decision is retained; see the original annotations for the action and its association with the root cause.</x:v>
      </x:c>
      <x:c r="M7" s="2" t="str">
        <x:v>https://github.com/NousResearch/hermes-agent/issues/67397</x:v>
      </x:c>
      <x:c r="N7" s="2" t="str">
        <x:v>F03</x:v>
      </x:c>
      <x:c r="O7" s="2" t="str">
        <x:v>Determinate from available evidence</x:v>
      </x:c>
    </x:row>
    <x:row r="8" ht="48.5" customHeight="1">
      <x:c r="A8" s="2" t="str">
        <x:v>P0234</x:v>
      </x:c>
      <x:c r="B8" s="2" t="str">
        <x:v>NousResearch/hermes-agent</x:v>
      </x:c>
      <x:c r="C8" s="2" t="n">
        <x:v>65165</x:v>
      </x:c>
      <x:c r="D8" s="2" t="str">
        <x:v>C07</x:v>
      </x:c>
      <x:c r="E8" s="2" t="str">
        <x:v>F02</x:v>
      </x:c>
      <x:c r="F8" s="2" t="str">
        <x:v>F02</x:v>
      </x:c>
      <x:c r="G8" s="2" t="str">
        <x:v>F02</x:v>
      </x:c>
      <x:c r="H8" s="2" t="str">
        <x:v>Execution-flow and state correction</x:v>
      </x:c>
      <x:c r="I8" s="2" t="str">
        <x:v>Recorded as implemented in the source data</x:v>
      </x:c>
      <x:c r="J8" s="2" t="str">
        <x:v>invocation analyzes Skill root directories and builds parent directories first</x:v>
      </x:c>
      <x:c r="K8" s="2" t="str">
        <x:v>The focus is state selection, execution progression, scope, or lifecycle management in the normal path.  Specific action: Analyze the Skill root directory at invocation and create the parent directory first.  root cause Response: Avoid freezing the default HOME when importing causing creation and upload of directory fork</x:v>
      </x:c>
      <x:c r="L8" s="2" t="str">
        <x:v>The two sets of labels agree and the original decision is retained; see the original annotations for the action and its association with the root cause.</x:v>
      </x:c>
      <x:c r="M8" s="2" t="str">
        <x:v>https://github.com/NousResearch/hermes-agent/issues/65165</x:v>
      </x:c>
      <x:c r="N8" s="2" t="str">
        <x:v>F02</x:v>
      </x:c>
      <x:c r="O8" s="2" t="str">
        <x:v>Determinate from available evidence</x:v>
      </x:c>
    </x:row>
    <x:row r="9" ht="48.5" customHeight="1">
      <x:c r="A9" s="2" t="str">
        <x:v>P0233</x:v>
      </x:c>
      <x:c r="B9" s="2" t="str">
        <x:v>NousResearch/hermes-agent</x:v>
      </x:c>
      <x:c r="C9" s="2" t="n">
        <x:v>63938</x:v>
      </x:c>
      <x:c r="D9" s="2" t="str">
        <x:v>C18</x:v>
      </x:c>
      <x:c r="E9" s="2" t="str">
        <x:v>F04</x:v>
      </x:c>
      <x:c r="F9" s="2" t="str">
        <x:v>F04</x:v>
      </x:c>
      <x:c r="G9" s="2" t="str">
        <x:v>F04</x:v>
      </x:c>
      <x:c r="H9" s="2" t="str">
        <x:v>Environment and distribution adaptation</x:v>
      </x:c>
      <x:c r="I9" s="2" t="str">
        <x:v>Recorded as implemented in the source data</x:v>
      </x:c>
      <x:c r="J9" s="2" t="str">
        <x:v>Standardise Windows drive paths to WSL paths</x:v>
      </x:c>
      <x:c r="K9" s="2" t="str">
        <x:v>The focus is platform prerequisites, build dependencies, deployment, or installation/distribution artifacts.  Specific action: Standardise Windows drive paths to WSL paths.  root cause Response: Allows Linux subprocesses to receive accessible drive paths</x:v>
      </x:c>
      <x:c r="L9" s="2" t="str">
        <x:v>The two sets of labels agree and the original decision is retained; see the original annotations for the action and its association with the root cause.</x:v>
      </x:c>
      <x:c r="M9" s="2" t="str">
        <x:v>https://github.com/NousResearch/hermes-agent/issues/63938</x:v>
      </x:c>
      <x:c r="N9" s="2" t="str">
        <x:v>F04</x:v>
      </x:c>
      <x:c r="O9" s="2" t="str">
        <x:v>Determinate from available evidence</x:v>
      </x:c>
    </x:row>
    <x:row r="10" ht="35" customHeight="1">
      <x:c r="A10" s="2" t="str">
        <x:v>P0232</x:v>
      </x:c>
      <x:c r="B10" s="2" t="str">
        <x:v>NousResearch/hermes-agent</x:v>
      </x:c>
      <x:c r="C10" s="2" t="n">
        <x:v>63770</x:v>
      </x:c>
      <x:c r="D10" s="2" t="str">
        <x:v>C15</x:v>
      </x:c>
      <x:c r="E10" s="2" t="str">
        <x:v>F03</x:v>
      </x:c>
      <x:c r="F10" s="2" t="str">
        <x:v>F03</x:v>
      </x:c>
      <x:c r="G10" s="2" t="str">
        <x:v>F03</x:v>
      </x:c>
      <x:c r="H10" s="2" t="str">
        <x:v>Validation and failure-path hardening</x:v>
      </x:c>
      <x:c r="I10" s="2" t="str">
        <x:v>Recorded as implemented in the source data</x:v>
      </x:c>
      <x:c r="J10" s="2" t="str">
        <x:v>A blockable tool lock is executed prior to distribution</x:v>
      </x:c>
      <x:c r="K10" s="2" t="str">
        <x:v>The focus is validation, controlled rejection, exception classification, or fallback after failure.  Specific action: execute blockable tool locks before distribution.  root cause Response: Rules in the Tip to Implement a Lockdown with Determination</x:v>
      </x:c>
      <x:c r="L10" s="2" t="str">
        <x:v>The two sets of labels agree and the original decision is retained; see the original annotations for the action and its association with the root cause.</x:v>
      </x:c>
      <x:c r="M10" s="2" t="str">
        <x:v>https://github.com/NousResearch/hermes-agent/issues/63770</x:v>
      </x:c>
      <x:c r="N10" s="2" t="str">
        <x:v>F03</x:v>
      </x:c>
      <x:c r="O10" s="2" t="str">
        <x:v>Determinate from available evidence</x:v>
      </x:c>
    </x:row>
    <x:row r="11" ht="48.5" customHeight="1">
      <x:c r="A11" s="2" t="str">
        <x:v>P0228</x:v>
      </x:c>
      <x:c r="B11" s="2" t="str">
        <x:v>NousResearch/hermes-agent</x:v>
      </x:c>
      <x:c r="C11" s="2" t="n">
        <x:v>59369</x:v>
      </x:c>
      <x:c r="D11" s="2" t="str">
        <x:v>C24</x:v>
      </x:c>
      <x:c r="E11" s="2" t="str">
        <x:v>U1</x:v>
      </x:c>
      <x:c r="F11" s="2" t="str">
        <x:v>U1</x:v>
      </x:c>
      <x:c r="G11" s="2" t="str">
        <x:v>F02</x:v>
      </x:c>
      <x:c r="H11" s="2" t="str">
        <x:v>Execution-flow and state correction</x:v>
      </x:c>
      <x:c r="I11" s="2" t="str">
        <x:v>Insufficient association evidence</x:v>
      </x:c>
      <x:c r="J11" s="2" t="str">
        <x:v>Recommended Action: Recommended to receive usage events and record, query and report on independent plugins.</x:v>
      </x:c>
      <x:c r="K11" s="2" t="str">
        <x:v>The unincorporated proposal contains SQLite consumption tracking, records of closest observed events, and maintenance of query status; functional proposals, not verified defects fixing.  This is an additional closest-fit assignment, not an established repair fact.</x:v>
      </x:c>
      <x:c r="L11" s="2" t="str">
        <x:v>One closest-fit strategy is selected as additionally requested.  The unincorporated proposal contains SQLite consumption tracking, records of closest observed events, and maintenance of query status; functional proposals, not verified defects fixing.  This is an additional closest-fit assignment, not an established repair fact.  The original evidence review is U1; this does not establish that a targeted repair has been verified.</x:v>
      </x:c>
      <x:c r="M11" s="2" t="str">
        <x:v>https://github.com/NousResearch/hermes-agent/issues/59369</x:v>
      </x:c>
      <x:c r="N11" s="2" t="str">
        <x:v>U1</x:v>
      </x:c>
      <x:c r="O11" s="2" t="str">
        <x:v>Closest fit to the intent described in the summary</x:v>
      </x:c>
    </x:row>
    <x:row r="12" ht="48.5" customHeight="1">
      <x:c r="A12" s="2" t="str">
        <x:v>P0227</x:v>
      </x:c>
      <x:c r="B12" s="2" t="str">
        <x:v>NousResearch/hermes-agent</x:v>
      </x:c>
      <x:c r="C12" s="2" t="n">
        <x:v>54465</x:v>
      </x:c>
      <x:c r="D12" s="2" t="str">
        <x:v>C11</x:v>
      </x:c>
      <x:c r="E12" s="2" t="str">
        <x:v>F02</x:v>
      </x:c>
      <x:c r="F12" s="2" t="str">
        <x:v>F02</x:v>
      </x:c>
      <x:c r="G12" s="2" t="str">
        <x:v>F02</x:v>
      </x:c>
      <x:c r="H12" s="2" t="str">
        <x:v>Execution-flow and state correction</x:v>
      </x:c>
      <x:c r="I12" s="2" t="str">
        <x:v>Recorded as implemented in the source data</x:v>
      </x:c>
      <x:c r="J12" s="2" t="str">
        <x:v>Permanent cooling and refreshment locks and limitation of retry superimposition</x:v>
      </x:c>
      <x:c r="K12" s="2" t="str">
        <x:v>The focus is state selection, execution progression, scope, or lifecycle management in the normal path.  Specific Action: Persistent cooling and renewal of lease locks and limitation of overlapping retry.    root cause Counterpart: Retention after restoration, long invocation During which the right of ownership is maintained, SDK retry Zoom in block</x:v>
      </x:c>
      <x:c r="L12" s="2" t="str">
        <x:v>The two sets of labels agree and the original decision is retained; see the original annotations for the action and its association with the root cause.</x:v>
      </x:c>
      <x:c r="M12" s="2" t="str">
        <x:v>https://github.com/NousResearch/hermes-agent/issues/54465</x:v>
      </x:c>
      <x:c r="N12" s="2" t="str">
        <x:v>F02</x:v>
      </x:c>
      <x:c r="O12" s="2" t="str">
        <x:v>Determinate from available evidence</x:v>
      </x:c>
    </x:row>
    <x:row r="13" ht="48.5" customHeight="1">
      <x:c r="A13" s="2" t="str">
        <x:v>P0223</x:v>
      </x:c>
      <x:c r="B13" s="2" t="str">
        <x:v>NousResearch/hermes-agent</x:v>
      </x:c>
      <x:c r="C13" s="2" t="n">
        <x:v>51646</x:v>
      </x:c>
      <x:c r="D13" s="2" t="str">
        <x:v>C24</x:v>
      </x:c>
      <x:c r="E13" s="2" t="str">
        <x:v>F02</x:v>
      </x:c>
      <x:c r="F13" s="2" t="str">
        <x:v>F02</x:v>
      </x:c>
      <x:c r="G13" s="2" t="str">
        <x:v>F02</x:v>
      </x:c>
      <x:c r="H13" s="2" t="str">
        <x:v>Execution-flow and state correction</x:v>
      </x:c>
      <x:c r="I13" s="2" t="str">
        <x:v>Recorded as implemented in the source data</x:v>
      </x:c>
      <x:c r="J13" s="2" t="str">
        <x:v>Clearly write the message active value and start to replenish the empty value</x:v>
      </x:c>
      <x:c r="K13" s="2" t="str">
        <x:v>The focus is state selection, execution progression, scope, or lifecycle management in the normal path.  Specific action: explicitly write the active value of the message and restart the empty value.  root cause response: simultaneously blocking new NULL writing and restoring historical lines that have been filtered</x:v>
      </x:c>
      <x:c r="L13" s="2" t="str">
        <x:v>The two sets of labels agree and the original decision is retained; see the original annotations for the action and its association with the root cause.</x:v>
      </x:c>
      <x:c r="M13" s="2" t="str">
        <x:v>https://github.com/NousResearch/hermes-agent/issues/51646</x:v>
      </x:c>
      <x:c r="N13" s="2" t="str">
        <x:v>F02</x:v>
      </x:c>
      <x:c r="O13" s="2" t="str">
        <x:v>Determinate from available evidence</x:v>
      </x:c>
    </x:row>
    <x:row r="14" ht="48.5" customHeight="1">
      <x:c r="A14" s="2" t="str">
        <x:v>P0222</x:v>
      </x:c>
      <x:c r="B14" s="2" t="str">
        <x:v>NousResearch/hermes-agent</x:v>
      </x:c>
      <x:c r="C14" s="2" t="n">
        <x:v>51587</x:v>
      </x:c>
      <x:c r="D14" s="2" t="str">
        <x:v>C11</x:v>
      </x:c>
      <x:c r="E14" s="2" t="str">
        <x:v>F02</x:v>
      </x:c>
      <x:c r="F14" s="2" t="str">
        <x:v>F02</x:v>
      </x:c>
      <x:c r="G14" s="2" t="str">
        <x:v>F02</x:v>
      </x:c>
      <x:c r="H14" s="2" t="str">
        <x:v>Execution-flow and state correction</x:v>
      </x:c>
      <x:c r="I14" s="2" t="str">
        <x:v>Recorded as implemented in the source data</x:v>
      </x:c>
      <x:c r="J14" s="2" t="str">
        <x:v>Check the authenticity of the thread owner wait and refresh the tool</x:v>
      </x:c>
      <x:c r="K14" s="2" t="str">
        <x:v>The focus is state selection, execution progression, scope, or lifecycle management in the normal path.  Specific Action: Check the authenticity of threads, wait for them and update tool.  root cause Response: Let the slow-connection findings enter the meeting instead of freezing on blank snapshots</x:v>
      </x:c>
      <x:c r="L14" s="2" t="str">
        <x:v>The two sets of labels agree and the original decision is retained; see the original annotations for the action and its association with the root cause.</x:v>
      </x:c>
      <x:c r="M14" s="2" t="str">
        <x:v>https://github.com/NousResearch/hermes-agent/issues/51587</x:v>
      </x:c>
      <x:c r="N14" s="2" t="str">
        <x:v>F02</x:v>
      </x:c>
      <x:c r="O14" s="2" t="str">
        <x:v>Determinate from available evidence</x:v>
      </x:c>
    </x:row>
    <x:row r="15" ht="48.5" customHeight="1">
      <x:c r="A15" s="2" t="str">
        <x:v>P0220</x:v>
      </x:c>
      <x:c r="B15" s="2" t="str">
        <x:v>NousResearch/hermes-agent</x:v>
      </x:c>
      <x:c r="C15" s="2" t="n">
        <x:v>48649</x:v>
      </x:c>
      <x:c r="D15" s="2" t="str">
        <x:v>C07</x:v>
      </x:c>
      <x:c r="E15" s="2" t="str">
        <x:v>F02</x:v>
      </x:c>
      <x:c r="F15" s="2" t="str">
        <x:v>F02</x:v>
      </x:c>
      <x:c r="G15" s="2" t="str">
        <x:v>F02</x:v>
      </x:c>
      <x:c r="H15" s="2" t="str">
        <x:v>Execution-flow and state correction</x:v>
      </x:c>
      <x:c r="I15" s="2" t="str">
        <x:v>Recorded as implemented in the source data</x:v>
      </x:c>
      <x:c r="J15" s="2" t="str">
        <x:v>Activity directory by invocation and isolated scheduled task storage</x:v>
      </x:c>
      <x:c r="K15" s="2" t="str">
        <x:v>The focus is state selection, execution progression, scope, or lifecycle management in the normal path.  Specific action: Analyze the activity directory by invocation and isolate scheduled task storage.  root cause response: Avoid freezing paths when imported and select the correct storage according to profile</x:v>
      </x:c>
      <x:c r="L15" s="2" t="str">
        <x:v>The two sets of labels agree and the original decision is retained; see the original annotations for the action and its association with the root cause.</x:v>
      </x:c>
      <x:c r="M15" s="2" t="str">
        <x:v>https://github.com/NousResearch/hermes-agent/issues/48649</x:v>
      </x:c>
      <x:c r="N15" s="2" t="str">
        <x:v>F02</x:v>
      </x:c>
      <x:c r="O15" s="2" t="str">
        <x:v>Determinate from available evidence</x:v>
      </x:c>
    </x:row>
    <x:row r="16" ht="48.5" customHeight="1">
      <x:c r="A16" s="2" t="str">
        <x:v>P0219</x:v>
      </x:c>
      <x:c r="B16" s="2" t="str">
        <x:v>NousResearch/hermes-agent</x:v>
      </x:c>
      <x:c r="C16" s="2" t="n">
        <x:v>47688</x:v>
      </x:c>
      <x:c r="D16" s="2" t="str">
        <x:v>C15</x:v>
      </x:c>
      <x:c r="E16" s="2" t="str">
        <x:v>F03</x:v>
      </x:c>
      <x:c r="F16" s="2" t="str">
        <x:v>F03</x:v>
      </x:c>
      <x:c r="G16" s="2" t="str">
        <x:v>F03</x:v>
      </x:c>
      <x:c r="H16" s="2" t="str">
        <x:v>Validation and failure-path hardening</x:v>
      </x:c>
      <x:c r="I16" s="2" t="str">
        <x:v>Recorded as implemented in the source data</x:v>
      </x:c>
      <x:c r="J16" s="2" t="str">
        <x:v>Refusing to write operations in the background under external Skill ownership</x:v>
      </x:c>
      <x:c r="K16" s="2" t="str">
        <x:v>The focus is validation, controlled rejection, exception classification, or fallback after failure.  Specific Action: Refusing to write operations in the background under external Skill ownership.  root cause Response: Make the source of censorship and ownership access truly cover the path of organizing and writing tool</x:v>
      </x:c>
      <x:c r="L16" s="2" t="str">
        <x:v>The two sets of labels agree and the original decision is retained; see the original annotations for the action and its association with the root cause.</x:v>
      </x:c>
      <x:c r="M16" s="2" t="str">
        <x:v>https://github.com/NousResearch/hermes-agent/issues/47688</x:v>
      </x:c>
      <x:c r="N16" s="2" t="str">
        <x:v>F03</x:v>
      </x:c>
      <x:c r="O16" s="2" t="str">
        <x:v>Determinate from available evidence</x:v>
      </x:c>
    </x:row>
    <x:row r="17" ht="48.5" customHeight="1">
      <x:c r="A17" s="2" t="str">
        <x:v>P0217</x:v>
      </x:c>
      <x:c r="B17" s="2" t="str">
        <x:v>NousResearch/hermes-agent</x:v>
      </x:c>
      <x:c r="C17" s="2" t="n">
        <x:v>43946</x:v>
      </x:c>
      <x:c r="D17" s="2" t="str">
        <x:v>C04</x:v>
      </x:c>
      <x:c r="E17" s="2" t="str">
        <x:v>U1</x:v>
      </x:c>
      <x:c r="F17" s="2" t="str">
        <x:v>U1</x:v>
      </x:c>
      <x:c r="G17" s="2" t="str">
        <x:v>F01</x:v>
      </x:c>
      <x:c r="H17" s="2" t="str">
        <x:v>Representation and usage-contract alignment</x:v>
      </x:c>
      <x:c r="I17" s="2" t="str">
        <x:v>Workaround only or existing behavior</x:v>
      </x:c>
      <x:c r="J17" s="2" t="str">
        <x:v>Suggested action (presumption): Suggested inspection Bedrock Request press Converse tool and block formatting.</x:v>
      </x:c>
      <x:c r="K17" s="2" t="str">
        <x:v>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x:v>
      </x:c>
      <x:c r="L17" s="2" t="str">
        <x:v>One closest-fit strategy is selected as additionally requested.  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  The original evidence review is U1; this does not establish that a targeted repair has been verified.</x:v>
      </x:c>
      <x:c r="M17" s="2" t="str">
        <x:v>https://github.com/NousResearch/hermes-agent/issues/43946</x:v>
      </x:c>
      <x:c r="N17" s="2" t="str">
        <x:v>U1</x:v>
      </x:c>
      <x:c r="O17" s="2" t="str">
        <x:v>Closest fit to the intent described in the summary</x:v>
      </x:c>
    </x:row>
    <x:row r="18" ht="48.5" customHeight="1">
      <x:c r="A18" s="2" t="str">
        <x:v>P0214</x:v>
      </x:c>
      <x:c r="B18" s="2" t="str">
        <x:v>NousResearch/hermes-agent</x:v>
      </x:c>
      <x:c r="C18" s="2" t="n">
        <x:v>42812</x:v>
      </x:c>
      <x:c r="D18" s="2" t="str">
        <x:v>C08</x:v>
      </x:c>
      <x:c r="E18" s="2" t="str">
        <x:v>F01</x:v>
      </x:c>
      <x:c r="F18" s="2" t="str">
        <x:v>F01</x:v>
      </x:c>
      <x:c r="G18" s="2" t="str">
        <x:v>F01</x:v>
      </x:c>
      <x:c r="H18" s="2" t="str">
        <x:v>Representation and usage-contract alignment</x:v>
      </x:c>
      <x:c r="I18" s="2" t="str">
        <x:v>Recorded as implemented in the source data</x:v>
      </x:c>
      <x:c r="J18" s="2" t="str">
        <x:v>Compressed abstract labelled as historical and prohibited from being executed</x:v>
      </x:c>
      <x:c r="K18" s="2" t="str">
        <x:v>The focus is correcting content representation, field transmission, static associations, or prompt/usage contracts.  Specific Action: Historicisation of the compression summary and prohibition of its execution.  root cause Response: Eliminating the semantic misconceptions of old tasks within abstract as current tasks</x:v>
      </x:c>
      <x:c r="L18" s="2" t="str">
        <x:v>The two sets of labels agree and the original decision is retained; see the original annotations for the action and its association with the root cause.</x:v>
      </x:c>
      <x:c r="M18" s="2" t="str">
        <x:v>https://github.com/NousResearch/hermes-agent/issues/42812</x:v>
      </x:c>
      <x:c r="N18" s="2" t="str">
        <x:v>F01</x:v>
      </x:c>
      <x:c r="O18" s="2" t="str">
        <x:v>Determinate from available evidence</x:v>
      </x:c>
    </x:row>
    <x:row r="19" ht="35" customHeight="1">
      <x:c r="A19" s="2" t="str">
        <x:v>P0212</x:v>
      </x:c>
      <x:c r="B19" s="2" t="str">
        <x:v>NousResearch/hermes-agent</x:v>
      </x:c>
      <x:c r="C19" s="2" t="n">
        <x:v>40795</x:v>
      </x:c>
      <x:c r="D19" s="2" t="str">
        <x:v>C13</x:v>
      </x:c>
      <x:c r="E19" s="2" t="str">
        <x:v>F01</x:v>
      </x:c>
      <x:c r="F19" s="2" t="str">
        <x:v>F03</x:v>
      </x:c>
      <x:c r="G19" s="2" t="str">
        <x:v>F03</x:v>
      </x:c>
      <x:c r="H19" s="2" t="str">
        <x:v>Validation and failure-path hardening</x:v>
      </x:c>
      <x:c r="I19" s="2" t="str">
        <x:v>Recorded as implemented in the source data</x:v>
      </x:c>
      <x:c r="J19" s="2" t="str">
        <x:v>Switch the block as an error result feedback and rollback interface</x:v>
      </x:c>
      <x:c r="K19" s="2" t="str">
        <x:v>RPC4009 and hook fail rollback change the failure status decision, not just change the user document.</x:v>
      </x:c>
      <x:c r="L19" s="2" t="str">
        <x:v>Integrating Task Back to Freeze Source Material: RPC4009 and hook Failure rollback Changes the Failure Status Decision, not just changing the user script.</x:v>
      </x:c>
      <x:c r="M19" s="2" t="str">
        <x:v>https://github.com/NousResearch/hermes-agent/issues/40795</x:v>
      </x:c>
      <x:c r="N19" s="2" t="str">
        <x:v>F03</x:v>
      </x:c>
      <x:c r="O19" s="2" t="str">
        <x:v>Determinate from available evidence</x:v>
      </x:c>
    </x:row>
    <x:row r="20" ht="48.5" customHeight="1">
      <x:c r="A20" s="2" t="str">
        <x:v>P0210</x:v>
      </x:c>
      <x:c r="B20" s="2" t="str">
        <x:v>NousResearch/hermes-agent</x:v>
      </x:c>
      <x:c r="C20" s="2" t="n">
        <x:v>39615</x:v>
      </x:c>
      <x:c r="D20" s="2" t="str">
        <x:v>C03</x:v>
      </x:c>
      <x:c r="E20" s="2" t="str">
        <x:v>F01</x:v>
      </x:c>
      <x:c r="F20" s="2" t="str">
        <x:v>F01</x:v>
      </x:c>
      <x:c r="G20" s="2" t="str">
        <x:v>F01</x:v>
      </x:c>
      <x:c r="H20" s="2" t="str">
        <x:v>Representation and usage-contract alignment</x:v>
      </x:c>
      <x:c r="I20" s="2" t="str">
        <x:v>Recorded as implemented in the source data</x:v>
      </x:c>
      <x:c r="J20" s="2" t="str">
        <x:v>Added terminal configuration to environment variable mapping</x:v>
      </x:c>
      <x:c r="K20" s="2" t="str">
        <x:v>The focus is correcting content representation, field transmission, static associations, or prompt/usage contracts.  Concrete action: Complementing terminal configuration to environment variable mapping.  root cause response: Deliver defined Docker parameters from two inputs to the actual execution environment</x:v>
      </x:c>
      <x:c r="L20" s="2" t="str">
        <x:v>The two sets of labels agree and the original decision is retained; see the original annotations for the action and its association with the root cause.</x:v>
      </x:c>
      <x:c r="M20" s="2" t="str">
        <x:v>https://github.com/NousResearch/hermes-agent/issues/39615</x:v>
      </x:c>
      <x:c r="N20" s="2" t="str">
        <x:v>F01</x:v>
      </x:c>
      <x:c r="O20" s="2" t="str">
        <x:v>Determinate from available evidence</x:v>
      </x:c>
    </x:row>
    <x:row r="21" ht="48.5" customHeight="1">
      <x:c r="A21" s="2" t="str">
        <x:v>P0207</x:v>
      </x:c>
      <x:c r="B21" s="2" t="str">
        <x:v>NousResearch/hermes-agent</x:v>
      </x:c>
      <x:c r="C21" s="2" t="n">
        <x:v>37008</x:v>
      </x:c>
      <x:c r="D21" s="2" t="str">
        <x:v>C11</x:v>
      </x:c>
      <x:c r="E21" s="2" t="str">
        <x:v>F02</x:v>
      </x:c>
      <x:c r="F21" s="2" t="str">
        <x:v>F02</x:v>
      </x:c>
      <x:c r="G21" s="2" t="str">
        <x:v>F02</x:v>
      </x:c>
      <x:c r="H21" s="2" t="str">
        <x:v>Execution-flow and state correction</x:v>
      </x:c>
      <x:c r="I21" s="2" t="str">
        <x:v>Recorded as implemented in the source data</x:v>
      </x:c>
      <x:c r="J21" s="2" t="str">
        <x:v>Non-blocking to close the thread pool and restrict directory budget</x:v>
      </x:c>
      <x:c r="K21" s="2" t="str">
        <x:v>The focus is state selection, execution progression, scope, or lifecycle management in the normal path.  Specific action: Non-blocking to close the thread pool and restrict directory budgeting.  root cause Response: After timeout, no more waiting implicitly for unfinished threads, constraining external directory searches</x:v>
      </x:c>
      <x:c r="L21" s="2" t="str">
        <x:v>The two sets of labels agree and the original decision is retained; see the original annotations for the action and its association with the root cause.</x:v>
      </x:c>
      <x:c r="M21" s="2" t="str">
        <x:v>https://github.com/NousResearch/hermes-agent/issues/37008</x:v>
      </x:c>
      <x:c r="N21" s="2" t="str">
        <x:v>F02</x:v>
      </x:c>
      <x:c r="O21" s="2" t="str">
        <x:v>Determinate from available evidence</x:v>
      </x:c>
    </x:row>
    <x:row r="22" ht="48.5" customHeight="1">
      <x:c r="A22" s="2" t="str">
        <x:v>P0206</x:v>
      </x:c>
      <x:c r="B22" s="2" t="str">
        <x:v>NousResearch/hermes-agent</x:v>
      </x:c>
      <x:c r="C22" s="2" t="n">
        <x:v>36893</x:v>
      </x:c>
      <x:c r="D22" s="2" t="str">
        <x:v>C23</x:v>
      </x:c>
      <x:c r="E22" s="2" t="str">
        <x:v>F01</x:v>
      </x:c>
      <x:c r="F22" s="2" t="str">
        <x:v>F01</x:v>
      </x:c>
      <x:c r="G22" s="2" t="str">
        <x:v>F01</x:v>
      </x:c>
      <x:c r="H22" s="2" t="str">
        <x:v>Representation and usage-contract alignment</x:v>
      </x:c>
      <x:c r="I22" s="2" t="str">
        <x:v>Recorded as implemented in the source data</x:v>
      </x:c>
      <x:c r="J22" s="2" t="str">
        <x:v>Limiting root project audits and giving root directory repair orders</x:v>
      </x:c>
      <x:c r="K22" s="2" t="str">
        <x:v>The focus is correcting content representation, field transmission, static associations, or prompt/usage contracts.  Specific action: Limiting root projects audit and give root directory repair orders.  root cause response: align the scope of the diagnosis execution with the location of the lock file while providing executable guidance</x:v>
      </x:c>
      <x:c r="L22" s="2" t="str">
        <x:v>The two sets of labels agree and the original decision is retained; see the original annotations for the action and its association with the root cause.</x:v>
      </x:c>
      <x:c r="M22" s="2" t="str">
        <x:v>https://github.com/NousResearch/hermes-agent/issues/36893</x:v>
      </x:c>
      <x:c r="N22" s="2" t="str">
        <x:v>F01</x:v>
      </x:c>
      <x:c r="O22" s="2" t="str">
        <x:v>Determinate from available evidence</x:v>
      </x:c>
    </x:row>
    <x:row r="23" ht="48.5" customHeight="1">
      <x:c r="A23" s="2" t="str">
        <x:v>P0203</x:v>
      </x:c>
      <x:c r="B23" s="2" t="str">
        <x:v>NousResearch/hermes-agent</x:v>
      </x:c>
      <x:c r="C23" s="2" t="n">
        <x:v>35829</x:v>
      </x:c>
      <x:c r="D23" s="2" t="str">
        <x:v>C22</x:v>
      </x:c>
      <x:c r="E23" s="2" t="str">
        <x:v>U1</x:v>
      </x:c>
      <x:c r="F23" s="2" t="str">
        <x:v>U1</x:v>
      </x:c>
      <x:c r="G23" s="2" t="str">
        <x:v>F02</x:v>
      </x:c>
      <x:c r="H23" s="2" t="str">
        <x:v>Execution-flow and state correction</x:v>
      </x:c>
      <x:c r="I23" s="2" t="str">
        <x:v>Insufficient association evidence</x:v>
      </x:c>
      <x:c r="J23" s="2" t="str">
        <x:v>Recommended action: Recommended assigning coding work to claude-code inputs in task categories and explicit configuration</x:v>
      </x:c>
      <x:c r="K23" s="2" t="str">
        <x:v>Model parameter candidates do not perform external CLI mandatory allocations; the coding task execution routing needs to be modified according to the main root cause.  An inferred match only; not recognized as a verified repair.</x:v>
      </x:c>
      <x:c r="L23" s="2" t="str">
        <x:v>One closest-fit strategy is selected as additionally requested.  Model parameter candidates do not perform external CLI mandatory allocations; the coding task execution routing needs to be modified according to the main root cause.  An inferred match only; not recognized as a verified repair.  The original evidence review is U1; this does not establish that a targeted repair has been verified.</x:v>
      </x:c>
      <x:c r="M23" s="2" t="str">
        <x:v>https://github.com/NousResearch/hermes-agent/issues/35829</x:v>
      </x:c>
      <x:c r="N23" s="2" t="str">
        <x:v>U1</x:v>
      </x:c>
      <x:c r="O23" s="2" t="str">
        <x:v>Inferred from the primary root cause</x:v>
      </x:c>
    </x:row>
    <x:row r="24" ht="35" customHeight="1">
      <x:c r="A24" s="2" t="str">
        <x:v>P0201</x:v>
      </x:c>
      <x:c r="B24" s="2" t="str">
        <x:v>NousResearch/hermes-agent</x:v>
      </x:c>
      <x:c r="C24" s="2" t="n">
        <x:v>34857</x:v>
      </x:c>
      <x:c r="D24" s="2" t="str">
        <x:v>C21</x:v>
      </x:c>
      <x:c r="E24" s="2" t="str">
        <x:v>F04</x:v>
      </x:c>
      <x:c r="F24" s="2" t="str">
        <x:v>F04</x:v>
      </x:c>
      <x:c r="G24" s="2" t="str">
        <x:v>F04</x:v>
      </x:c>
      <x:c r="H24" s="2" t="str">
        <x:v>Environment and distribution adaptation</x:v>
      </x:c>
      <x:c r="I24" s="2" t="str">
        <x:v>Recorded as implemented in the source data</x:v>
      </x:c>
      <x:c r="J24" s="2" t="str">
        <x:v>Discovered by adding CLI subcontractors to the package</x:v>
      </x:c>
      <x:c r="K24" s="2" t="str">
        <x:v>The focus is platform prerequisites, build dependencies, deployment, or installation/distribution artifacts.  Specific action: Adding CLI subcontractors to the discovery package.    root cause Response: Ensure wheel Include what is needed when running dashboard_auth Waiting bag</x:v>
      </x:c>
      <x:c r="L24" s="2" t="str">
        <x:v>The two sets of labels agree and the original decision is retained; see the original annotations for the action and its association with the root cause.</x:v>
      </x:c>
      <x:c r="M24" s="2" t="str">
        <x:v>https://github.com/NousResearch/hermes-agent/issues/34857</x:v>
      </x:c>
      <x:c r="N24" s="2" t="str">
        <x:v>F04</x:v>
      </x:c>
      <x:c r="O24" s="2" t="str">
        <x:v>Determinate from available evidence</x:v>
      </x:c>
    </x:row>
    <x:row r="25" ht="35" customHeight="1">
      <x:c r="A25" s="2" t="str">
        <x:v>P0200</x:v>
      </x:c>
      <x:c r="B25" s="2" t="str">
        <x:v>NousResearch/hermes-agent</x:v>
      </x:c>
      <x:c r="C25" s="2" t="n">
        <x:v>34775</x:v>
      </x:c>
      <x:c r="D25" s="2" t="str">
        <x:v>C15</x:v>
      </x:c>
      <x:c r="E25" s="2" t="str">
        <x:v>F03</x:v>
      </x:c>
      <x:c r="F25" s="2" t="str">
        <x:v>F03</x:v>
      </x:c>
      <x:c r="G25" s="2" t="str">
        <x:v>F03</x:v>
      </x:c>
      <x:c r="H25" s="2" t="str">
        <x:v>Validation and failure-path hardening</x:v>
      </x:c>
      <x:c r="I25" s="2" t="str">
        <x:v>Recorded as implemented in the source data</x:v>
      </x:c>
      <x:c r="J25" s="2" t="str">
        <x:v>After detection, verify the tokens and instruct the client configuration</x:v>
      </x:c>
      <x:c r="K25" s="2" t="str">
        <x:v>The focus is validation, controlled rejection, exception classification, or fallback after failure.  Specific actions: Verify tokens after detection and prompt client configuration.  root cause response: No longer making tools/list anonymously accessible as a authorization success</x:v>
      </x:c>
      <x:c r="L25" s="2" t="str">
        <x:v>The two sets of labels agree and the original decision is retained; see the original annotations for the action and its association with the root cause.</x:v>
      </x:c>
      <x:c r="M25" s="2" t="str">
        <x:v>https://github.com/NousResearch/hermes-agent/issues/34775</x:v>
      </x:c>
      <x:c r="N25" s="2" t="str">
        <x:v>F03</x:v>
      </x:c>
      <x:c r="O25" s="2" t="str">
        <x:v>Determinate from available evidence</x:v>
      </x:c>
    </x:row>
    <x:row r="26" ht="48.5" customHeight="1">
      <x:c r="A26" s="2" t="str">
        <x:v>P0199</x:v>
      </x:c>
      <x:c r="B26" s="2" t="str">
        <x:v>NousResearch/hermes-agent</x:v>
      </x:c>
      <x:c r="C26" s="2" t="n">
        <x:v>34608</x:v>
      </x:c>
      <x:c r="D26" s="2" t="str">
        <x:v>C06</x:v>
      </x:c>
      <x:c r="E26" s="2" t="str">
        <x:v>F02</x:v>
      </x:c>
      <x:c r="F26" s="2" t="str">
        <x:v>F02</x:v>
      </x:c>
      <x:c r="G26" s="2" t="str">
        <x:v>F02</x:v>
      </x:c>
      <x:c r="H26" s="2" t="str">
        <x:v>Execution-flow and state correction</x:v>
      </x:c>
      <x:c r="I26" s="2" t="str">
        <x:v>Recorded as implemented in the source data</x:v>
      </x:c>
      <x:c r="J26" s="2" t="str">
        <x:v>Media scanning to limit this round of new news</x:v>
      </x:c>
      <x:c r="K26" s="2" t="str">
        <x:v>The focus is state selection, execution progression, scope, or lifecycle management in the normal path.  Specific action: Media scanning to limit this round of new news.  root cause Response: Blocking historical tool products from being replicated as the current response to cross-cycle pollution</x:v>
      </x:c>
      <x:c r="L26" s="2" t="str">
        <x:v>The two sets of labels agree and the original decision is retained; see the original annotations for the action and its association with the root cause.</x:v>
      </x:c>
      <x:c r="M26" s="2" t="str">
        <x:v>https://github.com/NousResearch/hermes-agent/issues/34608</x:v>
      </x:c>
      <x:c r="N26" s="2" t="str">
        <x:v>F02</x:v>
      </x:c>
      <x:c r="O26" s="2" t="str">
        <x:v>Determinate from available evidence</x:v>
      </x:c>
    </x:row>
    <x:row r="27" ht="35" customHeight="1">
      <x:c r="A27" s="2" t="str">
        <x:v>P0198</x:v>
      </x:c>
      <x:c r="B27" s="2" t="str">
        <x:v>NousResearch/hermes-agent</x:v>
      </x:c>
      <x:c r="C27" s="2" t="n">
        <x:v>34192</x:v>
      </x:c>
      <x:c r="D27" s="2" t="str">
        <x:v>C17</x:v>
      </x:c>
      <x:c r="E27" s="2" t="str">
        <x:v>F04</x:v>
      </x:c>
      <x:c r="F27" s="2" t="str">
        <x:v>F04</x:v>
      </x:c>
      <x:c r="G27" s="2" t="str">
        <x:v>F04</x:v>
      </x:c>
      <x:c r="H27" s="2" t="str">
        <x:v>Environment and distribution adaptation</x:v>
      </x:c>
      <x:c r="I27" s="2" t="str">
        <x:v>Partial coverage</x:v>
      </x:c>
      <x:c r="J27" s="2" t="str">
        <x:v>Increased compatibility links for old container entrances</x:v>
      </x:c>
      <x:c r="K27" s="2" t="str">
        <x:v>The focus is platform prerequisites, build dependencies, deployment, or installation/distribution artifacts.  Specific action: Increase compatibility links for old container entrances.    root cause Corresponds: old packagings tini invocation Guide to reality init Imports</x:v>
      </x:c>
      <x:c r="L27" s="2" t="str">
        <x:v>The two sets of labels agree and the original decision is retained; see the original annotations for the action and its association with the root cause.</x:v>
      </x:c>
      <x:c r="M27" s="2" t="str">
        <x:v>https://github.com/NousResearch/hermes-agent/issues/34192</x:v>
      </x:c>
      <x:c r="N27" s="2" t="str">
        <x:v>F04</x:v>
      </x:c>
      <x:c r="O27" s="2" t="str">
        <x:v>Determinate from available evidence</x:v>
      </x:c>
    </x:row>
    <x:row r="28" ht="48.5" customHeight="1">
      <x:c r="A28" s="2" t="str">
        <x:v>P0197</x:v>
      </x:c>
      <x:c r="B28" s="2" t="str">
        <x:v>NousResearch/hermes-agent</x:v>
      </x:c>
      <x:c r="C28" s="2" t="n">
        <x:v>33679</x:v>
      </x:c>
      <x:c r="D28" s="2" t="str">
        <x:v>C09</x:v>
      </x:c>
      <x:c r="E28" s="2" t="str">
        <x:v>F02</x:v>
      </x:c>
      <x:c r="F28" s="2" t="str">
        <x:v>F02</x:v>
      </x:c>
      <x:c r="G28" s="2" t="str">
        <x:v>F02</x:v>
      </x:c>
      <x:c r="H28" s="2" t="str">
        <x:v>Execution-flow and state correction</x:v>
      </x:c>
      <x:c r="I28" s="2" t="str">
        <x:v>Recorded as implemented in the source data</x:v>
      </x:c>
      <x:c r="J28" s="2" t="str">
        <x:v>Browse through page tags and increase directory indexing limits</x:v>
      </x:c>
      <x:c r="K28" s="2" t="str">
        <x:v>The focus is state selection, execution progression, scope, or lifecycle management in the normal path.  Specific action: Go through the page flowcharts and increase the indexation limit for directories.  root cause response: obtaining a complete list of candidates to prevent single-page interruptions</x:v>
      </x:c>
      <x:c r="L28" s="2" t="str">
        <x:v>The two sets of labels agree and the original decision is retained; see the original annotations for the action and its association with the root cause.</x:v>
      </x:c>
      <x:c r="M28" s="2" t="str">
        <x:v>https://github.com/NousResearch/hermes-agent/issues/33679</x:v>
      </x:c>
      <x:c r="N28" s="2" t="str">
        <x:v>F02</x:v>
      </x:c>
      <x:c r="O28" s="2" t="str">
        <x:v>Determinate from available evidence</x:v>
      </x:c>
    </x:row>
    <x:row r="29" ht="35" customHeight="1">
      <x:c r="A29" s="2" t="str">
        <x:v>P0196</x:v>
      </x:c>
      <x:c r="B29" s="2" t="str">
        <x:v>NousResearch/hermes-agent</x:v>
      </x:c>
      <x:c r="C29" s="2" t="n">
        <x:v>33300</x:v>
      </x:c>
      <x:c r="D29" s="2" t="str">
        <x:v>C11</x:v>
      </x:c>
      <x:c r="E29" s="2" t="str">
        <x:v>F02</x:v>
      </x:c>
      <x:c r="F29" s="2" t="str">
        <x:v>F04</x:v>
      </x:c>
      <x:c r="G29" s="2" t="str">
        <x:v>F02</x:v>
      </x:c>
      <x:c r="H29" s="2" t="str">
        <x:v>Execution-flow and state correction</x:v>
      </x:c>
      <x:c r="I29" s="2" t="str">
        <x:v>Recorded as implemented in the source data</x:v>
      </x:c>
      <x:c r="J29" s="2" t="str">
        <x:v>Standard input for separating TUI subprocesses</x:v>
      </x:c>
      <x:c r="K29" s="2" t="str">
        <x:v>A common lifecycle is to disconnect shared stdin solutions from application subprocesses and gateway input resource competition. </x:v>
      </x:c>
      <x:c r="L29" s="2" t="str">
        <x:v>Integrating Task Back-Check Freeze Source Materials: Decompressed from the competition of input resources in shared stdin application subprocesses and gateways, which are part of a normal lifecycle.</x:v>
      </x:c>
      <x:c r="M29" s="2" t="str">
        <x:v>https://github.com/NousResearch/hermes-agent/issues/33300</x:v>
      </x:c>
      <x:c r="N29" s="2" t="str">
        <x:v>F02</x:v>
      </x:c>
      <x:c r="O29" s="2" t="str">
        <x:v>Determinate from available evidence</x:v>
      </x:c>
    </x:row>
    <x:row r="30" ht="48.5" customHeight="1">
      <x:c r="A30" s="2" t="str">
        <x:v>P0195</x:v>
      </x:c>
      <x:c r="B30" s="2" t="str">
        <x:v>NousResearch/hermes-agent</x:v>
      </x:c>
      <x:c r="C30" s="2" t="n">
        <x:v>33143</x:v>
      </x:c>
      <x:c r="D30" s="2" t="str">
        <x:v>C08</x:v>
      </x:c>
      <x:c r="E30" s="2" t="str">
        <x:v>U1</x:v>
      </x:c>
      <x:c r="F30" s="2" t="str">
        <x:v>U1</x:v>
      </x:c>
      <x:c r="G30" s="2" t="str">
        <x:v>F01</x:v>
      </x:c>
      <x:c r="H30" s="2" t="str">
        <x:v>Representation and usage-contract alignment</x:v>
      </x:c>
      <x:c r="I30" s="2" t="str">
        <x:v>Workaround only or existing behavior</x:v>
      </x:c>
      <x:c r="J30" s="2" t="str">
        <x:v>Recommended Action: Recommended to clarify the general rules of SOUL and unified documentation guidelines for responsibilities</x:v>
      </x:c>
      <x:c r="K30" s="2" t="str">
        <x:v>Summary Named with SOUL alternative hard-coding identity and the Universal Rules Document, closest to Universal Directions for use of contracts.  An inferred match only; not recognized as a verified repair.</x:v>
      </x:c>
      <x:c r="L30" s="2" t="str">
        <x:v>One closest-fit strategy is selected as additionally requested.  Summary Named with SOUL alternative hard-coding identity and the Universal Rules Document, closest to Universal Directions for use of contracts.  An inferred match only; not recognized as a verified repair.  The original evidence review is U1; this does not establish that a targeted repair has been verified.</x:v>
      </x:c>
      <x:c r="M30" s="2" t="str">
        <x:v>https://github.com/NousResearch/hermes-agent/issues/33143</x:v>
      </x:c>
      <x:c r="N30" s="2" t="str">
        <x:v>U1</x:v>
      </x:c>
      <x:c r="O30" s="2" t="str">
        <x:v>Closest fit to the intent described in the summary</x:v>
      </x:c>
    </x:row>
    <x:row r="31" ht="48.5" customHeight="1">
      <x:c r="A31" s="2" t="str">
        <x:v>P0194</x:v>
      </x:c>
      <x:c r="B31" s="2" t="str">
        <x:v>NousResearch/hermes-agent</x:v>
      </x:c>
      <x:c r="C31" s="2" t="n">
        <x:v>32975</x:v>
      </x:c>
      <x:c r="D31" s="2" t="str">
        <x:v>C12</x:v>
      </x:c>
      <x:c r="E31" s="2" t="str">
        <x:v>F03</x:v>
      </x:c>
      <x:c r="F31" s="2" t="str">
        <x:v>F03</x:v>
      </x:c>
      <x:c r="G31" s="2" t="str">
        <x:v>F03</x:v>
      </x:c>
      <x:c r="H31" s="2" t="str">
        <x:v>Validation and failure-path hardening</x:v>
      </x:c>
      <x:c r="I31" s="2" t="str">
        <x:v>Recorded as implemented in the source data</x:v>
      </x:c>
      <x:c r="J31" s="2" t="str">
        <x:v>Rebuild response output from the closed stream</x:v>
      </x:c>
      <x:c r="K31" s="2" t="str">
        <x:v>The focus is validation, controlled rejection, exception classification, or fallback after failure.  Concrete action: Reconstructing response output empty from streamed clips.  root cause response: Reserves the result when the iteration has been dropped abnormally, covering an untouchable path to final result processing</x:v>
      </x:c>
      <x:c r="L31" s="2" t="str">
        <x:v>The two sets of labels agree and the original decision is retained; see the original annotations for the action and its association with the root cause.</x:v>
      </x:c>
      <x:c r="M31" s="2" t="str">
        <x:v>https://github.com/NousResearch/hermes-agent/issues/32975</x:v>
      </x:c>
      <x:c r="N31" s="2" t="str">
        <x:v>F03</x:v>
      </x:c>
      <x:c r="O31" s="2" t="str">
        <x:v>Determinate from available evidence</x:v>
      </x:c>
    </x:row>
    <x:row r="32" ht="35" customHeight="1">
      <x:c r="A32" s="2" t="str">
        <x:v>P0193</x:v>
      </x:c>
      <x:c r="B32" s="2" t="str">
        <x:v>NousResearch/hermes-agent</x:v>
      </x:c>
      <x:c r="C32" s="2" t="n">
        <x:v>32662</x:v>
      </x:c>
      <x:c r="D32" s="2" t="str">
        <x:v>C08</x:v>
      </x:c>
      <x:c r="E32" s="2" t="str">
        <x:v>F01</x:v>
      </x:c>
      <x:c r="F32" s="2" t="str">
        <x:v>F02</x:v>
      </x:c>
      <x:c r="G32" s="2" t="str">
        <x:v>F02</x:v>
      </x:c>
      <x:c r="H32" s="2" t="str">
        <x:v>Execution-flow and state correction</x:v>
      </x:c>
      <x:c r="I32" s="2" t="str">
        <x:v>Partial coverage</x:v>
      </x:c>
      <x:c r="J32" s="2" t="str">
        <x:v>Unified extraction of user instructions and stripping of Skill handles</x:v>
      </x:c>
      <x:c r="K32" s="2" t="str">
        <x:v>Unanimously extract user instructions to determine which memory will be received context;residuals transcript Path not yet overwrite, reserve part status.</x:v>
      </x:c>
      <x:c r="L32" s="2" t="str">
        <x:v>Reconciling tasks to check frozen source material: unified extraction of user instructions to determine which memory to receive context;residuals transcript Path not yet overwrite, reserve part status.</x:v>
      </x:c>
      <x:c r="M32" s="2" t="str">
        <x:v>https://github.com/NousResearch/hermes-agent/issues/32662</x:v>
      </x:c>
      <x:c r="N32" s="2" t="str">
        <x:v>F02</x:v>
      </x:c>
      <x:c r="O32" s="2" t="str">
        <x:v>Determinate from available evidence</x:v>
      </x:c>
    </x:row>
    <x:row r="33" ht="48.5" customHeight="1">
      <x:c r="A33" s="2" t="str">
        <x:v>P0163</x:v>
      </x:c>
      <x:c r="B33" s="2" t="str">
        <x:v>NousResearch/hermes-agent</x:v>
      </x:c>
      <x:c r="C33" s="2" t="n">
        <x:v>14632</x:v>
      </x:c>
      <x:c r="D33" s="2" t="str">
        <x:v>C23</x:v>
      </x:c>
      <x:c r="E33" s="2" t="str">
        <x:v>F01</x:v>
      </x:c>
      <x:c r="F33" s="2" t="str">
        <x:v>F01</x:v>
      </x:c>
      <x:c r="G33" s="2" t="str">
        <x:v>F01</x:v>
      </x:c>
      <x:c r="H33" s="2" t="str">
        <x:v>Representation and usage-contract alignment</x:v>
      </x:c>
      <x:c r="I33" s="2" t="str">
        <x:v>Recorded as implemented in the source data</x:v>
      </x:c>
      <x:c r="J33" s="2" t="str">
        <x:v>Instructions to output routed commands by platform</x:v>
      </x:c>
      <x:c r="K33" s="2" t="str">
        <x:v>The focus is correcting content representation, field transmission, static associations, or prompt/usage contracts.  Specific actions: instructions for output routing by platform.  root cause response: Slack guides converted to real registered parent commands plus sub commands</x:v>
      </x:c>
      <x:c r="L33" s="2" t="str">
        <x:v>The two sets of labels agree and the original decision is retained; see the original annotations for the action and its association with the root cause.</x:v>
      </x:c>
      <x:c r="M33" s="2" t="str">
        <x:v>https://github.com/NousResearch/hermes-agent/issues/14632</x:v>
      </x:c>
      <x:c r="N33" s="2" t="str">
        <x:v>F01</x:v>
      </x:c>
      <x:c r="O33" s="2" t="str">
        <x:v>Determinate from available evidence</x:v>
      </x:c>
    </x:row>
    <x:row r="34" ht="48.5" customHeight="1">
      <x:c r="A34" s="2" t="str">
        <x:v>P0224</x:v>
      </x:c>
      <x:c r="B34" s="2" t="str">
        <x:v>NousResearch/hermes-agent</x:v>
      </x:c>
      <x:c r="C34" s="2" t="n">
        <x:v>51829</x:v>
      </x:c>
      <x:c r="D34" s="2" t="str">
        <x:v>C10</x:v>
      </x:c>
      <x:c r="E34" s="2" t="str">
        <x:v>F02</x:v>
      </x:c>
      <x:c r="F34" s="2" t="str">
        <x:v>F02</x:v>
      </x:c>
      <x:c r="G34" s="2" t="str">
        <x:v>F02</x:v>
      </x:c>
      <x:c r="H34" s="2" t="str">
        <x:v>Execution-flow and state correction</x:v>
      </x:c>
      <x:c r="I34" s="2" t="str">
        <x:v>Recorded as implemented in the source data</x:v>
      </x:c>
      <x:c r="J34" s="2" t="str">
        <x:v>Use the interface to learn commands and send them into a unified distribution</x:v>
      </x:c>
      <x:c r="K34" s="2" t="str">
        <x:v>The focus is state selection, execution progression, scope, or lifecycle management in the normal path.  Specific action: Unified access to interface learning commands.  root cause Response: Generates a prompt to be sent to the path that actually starts Agent</x:v>
      </x:c>
      <x:c r="L34" s="2" t="str">
        <x:v>The two sets of labels agree and the original decision is retained; see the original annotations for the action and its association with the root cause.</x:v>
      </x:c>
      <x:c r="M34" s="2" t="str">
        <x:v>https://github.com/NousResearch/hermes-agent/issues/51829</x:v>
      </x:c>
      <x:c r="N34" s="2" t="str">
        <x:v>F02</x:v>
      </x:c>
      <x:c r="O34" s="2" t="str">
        <x:v>Determinate from available evidence</x:v>
      </x:c>
    </x:row>
    <x:row r="35" ht="48.5" customHeight="1">
      <x:c r="A35" s="2" t="str">
        <x:v>P0031</x:v>
      </x:c>
      <x:c r="B35" s="2" t="str">
        <x:v>openclaw/openclaw</x:v>
      </x:c>
      <x:c r="C35" s="2" t="n">
        <x:v>39605</x:v>
      </x:c>
      <x:c r="D35" s="2" t="str">
        <x:v>C07</x:v>
      </x:c>
      <x:c r="E35" s="2" t="str">
        <x:v>F02</x:v>
      </x:c>
      <x:c r="F35" s="2" t="str">
        <x:v>F02</x:v>
      </x:c>
      <x:c r="G35" s="2" t="str">
        <x:v>F02</x:v>
      </x:c>
      <x:c r="H35" s="2" t="str">
        <x:v>Execution-flow and state correction</x:v>
      </x:c>
      <x:c r="I35" s="2" t="str">
        <x:v>Recorded as implemented in the source data</x:v>
      </x:c>
      <x:c r="J35" s="2" t="str">
        <x:v>Re-read the current configuration when routing commands</x:v>
      </x:c>
      <x:c r="K35" s="2" t="str">
        <x:v>The focus is state selection, execution progression, scope, or lifecycle management in the normal path.  Specific action: Re-read the current configuration when routing commands.  root cause Response: Avoiding closed-circuit holding a startup snapshot causes session scope configuration to be invalid</x:v>
      </x:c>
      <x:c r="L35" s="2" t="str">
        <x:v>The two sets of labels agree and the original decision is retained; see the original annotations for the action and its association with the root cause.</x:v>
      </x:c>
      <x:c r="M35" s="2" t="str">
        <x:v>https://github.com/openclaw/openclaw/issues/39605</x:v>
      </x:c>
      <x:c r="N35" s="2" t="str">
        <x:v>F02</x:v>
      </x:c>
      <x:c r="O35" s="2" t="str">
        <x:v>Determinate from available evidence</x:v>
      </x:c>
    </x:row>
    <x:row r="36" ht="48.5" customHeight="1">
      <x:c r="A36" s="2" t="str">
        <x:v>P0071</x:v>
      </x:c>
      <x:c r="B36" s="2" t="str">
        <x:v>openclaw/openclaw</x:v>
      </x:c>
      <x:c r="C36" s="2" t="n">
        <x:v>68547</x:v>
      </x:c>
      <x:c r="D36" s="2" t="str">
        <x:v>C01</x:v>
      </x:c>
      <x:c r="E36" s="2" t="str">
        <x:v>F01</x:v>
      </x:c>
      <x:c r="F36" s="2" t="str">
        <x:v>F01</x:v>
      </x:c>
      <x:c r="G36" s="2" t="str">
        <x:v>F01</x:v>
      </x:c>
      <x:c r="H36" s="2" t="str">
        <x:v>Representation and usage-contract alignment</x:v>
      </x:c>
      <x:c r="I36" s="2" t="str">
        <x:v>Recorded as implemented in the source data</x:v>
      </x:c>
      <x:c r="J36" s="2" t="str">
        <x:v>Removal of robots before matching commands</x:v>
      </x:c>
      <x:c r="K36" s="2" t="str">
        <x:v>The focus is correcting content representation, field transmission, static associations, or prompt/usage contracts.  Specific action: Removal of robots before matching commands.  root cause response: Restore command text starting with the slope, correcting Matrix preprocessing gaps</x:v>
      </x:c>
      <x:c r="L36" s="2" t="str">
        <x:v>The two sets of labels agree and the original decision is retained; see the original annotations for the action and its association with the root cause.</x:v>
      </x:c>
      <x:c r="M36" s="2" t="str">
        <x:v>https://github.com/openclaw/openclaw/issues/68547</x:v>
      </x:c>
      <x:c r="N36" s="2" t="str">
        <x:v>F01</x:v>
      </x:c>
      <x:c r="O36" s="2" t="str">
        <x:v>Determinate from available evidence</x:v>
      </x:c>
    </x:row>
    <x:row r="37" ht="48.5" customHeight="1">
      <x:c r="A37" s="2" t="str">
        <x:v>P0112</x:v>
      </x:c>
      <x:c r="B37" s="2" t="str">
        <x:v>openclaw/openclaw</x:v>
      </x:c>
      <x:c r="C37" s="2" t="n">
        <x:v>116839</x:v>
      </x:c>
      <x:c r="D37" s="2" t="str">
        <x:v>C05</x:v>
      </x:c>
      <x:c r="E37" s="2" t="str">
        <x:v>F02</x:v>
      </x:c>
      <x:c r="F37" s="2" t="str">
        <x:v>F02</x:v>
      </x:c>
      <x:c r="G37" s="2" t="str">
        <x:v>F02</x:v>
      </x:c>
      <x:c r="H37" s="2" t="str">
        <x:v>Execution-flow and state correction</x:v>
      </x:c>
      <x:c r="I37" s="2" t="str">
        <x:v>Recorded as implemented in the source data</x:v>
      </x:c>
      <x:c r="J37" s="2" t="str">
        <x:v>Continued rotation of slots for target meetings</x:v>
      </x:c>
      <x:c r="K37" s="2" t="str">
        <x:v>The focus is state selection, execution progression, scope, or lifecycle management in the normal path.  Concrete action: Continued round-up of slots for target meetings.  root cause response: Reservation of alternative sources by target active owners, correction of deviation requests to send to real operation</x:v>
      </x:c>
      <x:c r="L37" s="2" t="str">
        <x:v>The two sets of labels agree and the original decision is retained; see the original annotations for the action and its association with the root cause.</x:v>
      </x:c>
      <x:c r="M37" s="2" t="str">
        <x:v>https://github.com/openclaw/openclaw/issues/116839</x:v>
      </x:c>
      <x:c r="N37" s="2" t="str">
        <x:v>F02</x:v>
      </x:c>
      <x:c r="O37" s="2" t="str">
        <x:v>Determinate from available evidence</x:v>
      </x:c>
    </x:row>
    <x:row r="38" ht="48.5" customHeight="1">
      <x:c r="A38" s="2" t="str">
        <x:v>P0115</x:v>
      </x:c>
      <x:c r="B38" s="2" t="str">
        <x:v>openclaw/openclaw</x:v>
      </x:c>
      <x:c r="C38" s="2" t="n">
        <x:v>120750</x:v>
      </x:c>
      <x:c r="D38" s="2" t="str">
        <x:v>C09</x:v>
      </x:c>
      <x:c r="E38" s="2" t="str">
        <x:v>F02</x:v>
      </x:c>
      <x:c r="F38" s="2" t="str">
        <x:v>F02</x:v>
      </x:c>
      <x:c r="G38" s="2" t="str">
        <x:v>F02</x:v>
      </x:c>
      <x:c r="H38" s="2" t="str">
        <x:v>Execution-flow and state correction</x:v>
      </x:c>
      <x:c r="I38" s="2" t="str">
        <x:v>Recorded as implemented in the source data</x:v>
      </x:c>
      <x:c r="J38" s="2" t="str">
        <x:v>Ordered by order matching relevance rankings</x:v>
      </x:c>
      <x:c r="K38" s="2" t="str">
        <x:v>The focus is state selection, execution progression, scope, or lifecycle management in the normal path.  Concrete action: ordered by command matching relevance rankings.  root cause Response: Precision with forward-firing hits prioritized over levels and descriptions, modified discovery results prioritization</x:v>
      </x:c>
      <x:c r="L38" s="2" t="str">
        <x:v>The two sets of labels agree and the original decision is retained; see the original annotations for the action and its association with the root cause.</x:v>
      </x:c>
      <x:c r="M38" s="2" t="str">
        <x:v>https://github.com/openclaw/openclaw/issues/120750</x:v>
      </x:c>
      <x:c r="N38" s="2" t="str">
        <x:v>F02</x:v>
      </x:c>
      <x:c r="O38" s="2" t="str">
        <x:v>Determinate from available evidence</x:v>
      </x:c>
    </x:row>
    <x:row r="39" ht="48.5" customHeight="1">
      <x:c r="A39" s="2" t="str">
        <x:v>P0130</x:v>
      </x:c>
      <x:c r="B39" s="2" t="str">
        <x:v>NousResearch/hermes-agent</x:v>
      </x:c>
      <x:c r="C39" s="2" t="n">
        <x:v>285</x:v>
      </x:c>
      <x:c r="D39" s="2" t="str">
        <x:v>C04</x:v>
      </x:c>
      <x:c r="E39" s="2" t="str">
        <x:v>F01</x:v>
      </x:c>
      <x:c r="F39" s="2" t="str">
        <x:v>F01</x:v>
      </x:c>
      <x:c r="G39" s="2" t="str">
        <x:v>F01</x:v>
      </x:c>
      <x:c r="H39" s="2" t="str">
        <x:v>Representation and usage-contract alignment</x:v>
      </x:c>
      <x:c r="I39" s="2" t="str">
        <x:v>Recorded as implemented in the source data</x:v>
      </x:c>
      <x:c r="J39" s="2" t="str">
        <x:v>Updated registry endpoints to match response fields</x:v>
      </x:c>
      <x:c r="K39" s="2" t="str">
        <x:v>The focus is correcting content representation, field transmission, static associations, or prompt/usage contracts.  Concrete action: Update of the registry endpoints to the response field.  root cause responds: Search and see how to get three ways to follow the new upstream API agreement</x:v>
      </x:c>
      <x:c r="L39" s="2" t="str">
        <x:v>The two sets of labels agree and the original decision is retained; see the original annotations for the action and its association with the root cause.</x:v>
      </x:c>
      <x:c r="M39" s="2" t="str">
        <x:v>https://github.com/NousResearch/hermes-agent/issues/285</x:v>
      </x:c>
      <x:c r="N39" s="2" t="str">
        <x:v>F01</x:v>
      </x:c>
      <x:c r="O39" s="2" t="str">
        <x:v>Determinate from available evidence</x:v>
      </x:c>
    </x:row>
    <x:row r="40" ht="35" customHeight="1">
      <x:c r="A40" s="2" t="str">
        <x:v>P0138</x:v>
      </x:c>
      <x:c r="B40" s="2" t="str">
        <x:v>NousResearch/hermes-agent</x:v>
      </x:c>
      <x:c r="C40" s="2" t="n">
        <x:v>3967</x:v>
      </x:c>
      <x:c r="D40" s="2" t="str">
        <x:v>C15</x:v>
      </x:c>
      <x:c r="E40" s="2" t="str">
        <x:v>F03</x:v>
      </x:c>
      <x:c r="F40" s="2" t="str">
        <x:v>F03</x:v>
      </x:c>
      <x:c r="G40" s="2" t="str">
        <x:v>F03</x:v>
      </x:c>
      <x:c r="H40" s="2" t="str">
        <x:v>Validation and failure-path hardening</x:v>
      </x:c>
      <x:c r="I40" s="2" t="str">
        <x:v>Partial coverage</x:v>
      </x:c>
      <x:c r="J40" s="2" t="str">
        <x:v>Classified paths and validation databases containing relationships</x:v>
      </x:c>
      <x:c r="K40" s="2" t="str">
        <x:v>The focus is validation, controlled rejection, exception classification, or fallback after failure.  Specific Action: Standardize Paths and Calculate Baseline Catalogs Including Relationships.  root cause response: absolute refusal to register paths and credentials of escape after analysis</x:v>
      </x:c>
      <x:c r="L40" s="2" t="str">
        <x:v>The two sets of labels agree and the original decision is retained; see the original annotations for the action and its association with the root cause.</x:v>
      </x:c>
      <x:c r="M40" s="2" t="str">
        <x:v>https://github.com/NousResearch/hermes-agent/issues/3967</x:v>
      </x:c>
      <x:c r="N40" s="2" t="str">
        <x:v>F03</x:v>
      </x:c>
      <x:c r="O40" s="2" t="str">
        <x:v>Determinate from available evidence</x:v>
      </x:c>
    </x:row>
    <x:row r="41" ht="35" customHeight="1">
      <x:c r="A41" s="2" t="str">
        <x:v>P0139</x:v>
      </x:c>
      <x:c r="B41" s="2" t="str">
        <x:v>NousResearch/hermes-agent</x:v>
      </x:c>
      <x:c r="C41" s="2" t="n">
        <x:v>4244</x:v>
      </x:c>
      <x:c r="D41" s="2" t="str">
        <x:v>C02</x:v>
      </x:c>
      <x:c r="E41" s="2" t="str">
        <x:v>F03</x:v>
      </x:c>
      <x:c r="F41" s="2" t="str">
        <x:v>F03</x:v>
      </x:c>
      <x:c r="G41" s="2" t="str">
        <x:v>F03</x:v>
      </x:c>
      <x:c r="H41" s="2" t="str">
        <x:v>Validation and failure-path hardening</x:v>
      </x:c>
      <x:c r="I41" s="2" t="str">
        <x:v>Recorded as implemented in the source data</x:v>
      </x:c>
      <x:c r="J41" s="2" t="str">
        <x:v>Embedded metadata display type checks and fallback empty dictionaries</x:v>
      </x:c>
      <x:c r="K41" s="2" t="str">
        <x:v>The focus is validation, controlled rejection, exception classification, or fallback after failure.  Specific actions: Embedded meta-data overt type check and fallback Empty dictionary.    root cause Corresponds: The non-dictional value no longer triggers get Unusual drag load</x:v>
      </x:c>
      <x:c r="L41" s="2" t="str">
        <x:v>The two sets of labels agree and the original decision is retained; see the original annotations for the action and its association with the root cause.</x:v>
      </x:c>
      <x:c r="M41" s="2" t="str">
        <x:v>https://github.com/NousResearch/hermes-agent/issues/4244</x:v>
      </x:c>
      <x:c r="N41" s="2" t="str">
        <x:v>F03</x:v>
      </x:c>
      <x:c r="O41" s="2" t="str">
        <x:v>Determinate from available evidence</x:v>
      </x:c>
    </x:row>
    <x:row r="42" ht="35" customHeight="1">
      <x:c r="A42" s="2" t="str">
        <x:v>P0148</x:v>
      </x:c>
      <x:c r="B42" s="2" t="str">
        <x:v>NousResearch/hermes-agent</x:v>
      </x:c>
      <x:c r="C42" s="2" t="n">
        <x:v>5590</x:v>
      </x:c>
      <x:c r="D42" s="2" t="str">
        <x:v>C12</x:v>
      </x:c>
      <x:c r="E42" s="2" t="str">
        <x:v>F01</x:v>
      </x:c>
      <x:c r="F42" s="2" t="str">
        <x:v>F02</x:v>
      </x:c>
      <x:c r="G42" s="2" t="str">
        <x:v>F02</x:v>
      </x:c>
      <x:c r="H42" s="2" t="str">
        <x:v>Execution-flow and state correction</x:v>
      </x:c>
      <x:c r="I42" s="2" t="str">
        <x:v>Recorded as implemented in the source data</x:v>
      </x:c>
      <x:c r="J42" s="2" t="str">
        <x:v>Use explicit None to judge and develop full-size tool sets</x:v>
      </x:c>
      <x:c r="K42" s="2" t="str">
        <x:v>The state selection of the accumulated tool set for explicit is not None and all tool branches; not the fallback for safe abnormalities.</x:v>
      </x:c>
      <x:c r="L42" s="2" t="str">
        <x:v>Integrating task back-checking freeze source material: explicit is not None and full tool branch recovery state selection of tool collection; not fallback for safe for abnormalities.</x:v>
      </x:c>
      <x:c r="M42" s="2" t="str">
        <x:v>https://github.com/NousResearch/hermes-agent/issues/5590</x:v>
      </x:c>
      <x:c r="N42" s="2" t="str">
        <x:v>F02</x:v>
      </x:c>
      <x:c r="O42" s="2" t="str">
        <x:v>Determinate from available evidence</x:v>
      </x:c>
    </x:row>
    <x:row r="43" ht="48.5" customHeight="1">
      <x:c r="A43" s="2" t="str">
        <x:v>P0149</x:v>
      </x:c>
      <x:c r="B43" s="2" t="str">
        <x:v>NousResearch/hermes-agent</x:v>
      </x:c>
      <x:c r="C43" s="2" t="n">
        <x:v>7137</x:v>
      </x:c>
      <x:c r="D43" s="2" t="str">
        <x:v>C11</x:v>
      </x:c>
      <x:c r="E43" s="2" t="str">
        <x:v>F02</x:v>
      </x:c>
      <x:c r="F43" s="2" t="str">
        <x:v>F02</x:v>
      </x:c>
      <x:c r="G43" s="2" t="str">
        <x:v>F02</x:v>
      </x:c>
      <x:c r="H43" s="2" t="str">
        <x:v>Execution-flow and state correction</x:v>
      </x:c>
      <x:c r="I43" s="2" t="str">
        <x:v>Partial coverage</x:v>
      </x:c>
      <x:c r="J43" s="2" t="str">
        <x:v>Resolving the Ready Incident synchronized with Backstage Order</x:v>
      </x:c>
      <x:c r="K43" s="2" t="str">
        <x:v>The focus is state selection, execution progression, scope, or lifecycle management in the normal path.  Concrete Action: Resolving Ready Events and Synchronizing Background Commands.  root cause response: Limit current waiting to stop blocking and amplify re-connection</x:v>
      </x:c>
      <x:c r="L43" s="2" t="str">
        <x:v>The two sets of labels agree and the original decision is retained; see the original annotations for the action and its association with the root cause.</x:v>
      </x:c>
      <x:c r="M43" s="2" t="str">
        <x:v>https://github.com/NousResearch/hermes-agent/issues/7137</x:v>
      </x:c>
      <x:c r="N43" s="2" t="str">
        <x:v>F02</x:v>
      </x:c>
      <x:c r="O43" s="2" t="str">
        <x:v>Determinate from available evidence</x:v>
      </x:c>
    </x:row>
    <x:row r="44" ht="48.5" customHeight="1">
      <x:c r="A44" s="2" t="str">
        <x:v>P0160</x:v>
      </x:c>
      <x:c r="B44" s="2" t="str">
        <x:v>NousResearch/hermes-agent</x:v>
      </x:c>
      <x:c r="C44" s="2" t="n">
        <x:v>12722</x:v>
      </x:c>
      <x:c r="D44" s="2" t="str">
        <x:v>C17</x:v>
      </x:c>
      <x:c r="E44" s="2" t="str">
        <x:v>F04</x:v>
      </x:c>
      <x:c r="F44" s="2" t="str">
        <x:v>F04</x:v>
      </x:c>
      <x:c r="G44" s="2" t="str">
        <x:v>F04</x:v>
      </x:c>
      <x:c r="H44" s="2" t="str">
        <x:v>Environment and distribution adaptation</x:v>
      </x:c>
      <x:c r="I44" s="2" t="str">
        <x:v>Recorded as implemented in the source data</x:v>
      </x:c>
      <x:c r="J44" s="2" t="str">
        <x:v>Shared Environmental Directory Analysis and Package Declaration Optional Dependencies</x:v>
      </x:c>
      <x:c r="K44" s="2" t="str">
        <x:v>The focus is platform prerequisites, build dependencies, deployment, or installation/distribution artifacts.  Specific actions: Shared environment directories analyzed and depended on packet declarations.  root cause response: Make sealed installation without the need for temporary pip installation, using consistent HOME resolution</x:v>
      </x:c>
      <x:c r="L44" s="2" t="str">
        <x:v>The two sets of labels agree and the original decision is retained; see the original annotations for the action and its association with the root cause.</x:v>
      </x:c>
      <x:c r="M44" s="2" t="str">
        <x:v>https://github.com/NousResearch/hermes-agent/issues/12722</x:v>
      </x:c>
      <x:c r="N44" s="2" t="str">
        <x:v>F04</x:v>
      </x:c>
      <x:c r="O44" s="2" t="str">
        <x:v>Determinate from available evidence</x:v>
      </x:c>
    </x:row>
    <x:row r="45" ht="48.5" customHeight="1">
      <x:c r="A45" s="2" t="str">
        <x:v>P0191</x:v>
      </x:c>
      <x:c r="B45" s="2" t="str">
        <x:v>NousResearch/hermes-agent</x:v>
      </x:c>
      <x:c r="C45" s="2" t="n">
        <x:v>29912</x:v>
      </x:c>
      <x:c r="D45" s="2" t="str">
        <x:v>C15</x:v>
      </x:c>
      <x:c r="E45" s="2" t="str">
        <x:v>F03</x:v>
      </x:c>
      <x:c r="F45" s="2" t="str">
        <x:v>F03</x:v>
      </x:c>
      <x:c r="G45" s="2" t="str">
        <x:v>F03</x:v>
      </x:c>
      <x:c r="H45" s="2" t="str">
        <x:v>Validation and failure-path hardening</x:v>
      </x:c>
      <x:c r="I45" s="2" t="str">
        <x:v>Recorded as implemented in the source data</x:v>
      </x:c>
      <x:c r="J45" s="2" t="str">
        <x:v>Removing pre-verified merger targets and failing refusal</x:v>
      </x:c>
      <x:c r="K45" s="2" t="str">
        <x:v>The focus is validation, controlled rejection, exception classification, or fallback after failure.  Specific action: Removing the pre-verified merger target and failing to reject it.  root cause response: blocking destructive archiving without evidence with machine-tested preconditions</x:v>
      </x:c>
      <x:c r="L45" s="2" t="str">
        <x:v>The two sets of labels agree and the original decision is retained; see the original annotations for the action and its association with the root cause.</x:v>
      </x:c>
      <x:c r="M45" s="2" t="str">
        <x:v>https://github.com/NousResearch/hermes-agent/issues/29912</x:v>
      </x:c>
      <x:c r="N45" s="2" t="str">
        <x:v>F03</x:v>
      </x:c>
      <x:c r="O45" s="2" t="str">
        <x:v>Determinate from available evidence</x:v>
      </x:c>
    </x:row>
    <x:row r="46" ht="48.5" customHeight="1">
      <x:c r="A46" s="2" t="str">
        <x:v>P0213</x:v>
      </x:c>
      <x:c r="B46" s="2" t="str">
        <x:v>NousResearch/hermes-agent</x:v>
      </x:c>
      <x:c r="C46" s="2" t="n">
        <x:v>42786</x:v>
      </x:c>
      <x:c r="D46" s="2" t="str">
        <x:v>C05</x:v>
      </x:c>
      <x:c r="E46" s="2" t="str">
        <x:v>F01</x:v>
      </x:c>
      <x:c r="F46" s="2" t="str">
        <x:v>F01</x:v>
      </x:c>
      <x:c r="G46" s="2" t="str">
        <x:v>F01</x:v>
      </x:c>
      <x:c r="H46" s="2" t="str">
        <x:v>Representation and usage-contract alignment</x:v>
      </x:c>
      <x:c r="I46" s="2" t="str">
        <x:v>Recorded as implemented in the source data</x:v>
      </x:c>
      <x:c r="J46" s="2" t="str">
        <x:v>Unified Skill directory name and metadata name and recover references</x:v>
      </x:c>
      <x:c r="K46" s="2" t="str">
        <x:v>The focus is correcting content representation, field transmission, static associations, or prompt/usage contracts.  Specific action: Unify Skill directory names and metadata names and rectify references.  root cause Response: Eliminate inconsistent identity sources between detected registration checks</x:v>
      </x:c>
      <x:c r="L46" s="2" t="str">
        <x:v>The two sets of labels agree and the original decision is retained; see the original annotations for the action and its association with the root cause.</x:v>
      </x:c>
      <x:c r="M46" s="2" t="str">
        <x:v>https://github.com/NousResearch/hermes-agent/issues/42786</x:v>
      </x:c>
      <x:c r="N46" s="2" t="str">
        <x:v>F01</x:v>
      </x:c>
      <x:c r="O46" s="2" t="str">
        <x:v>Determinate from available evidence</x:v>
      </x:c>
    </x:row>
    <x:row r="47" ht="48.5" customHeight="1">
      <x:c r="A47" s="2" t="str">
        <x:v>P0221</x:v>
      </x:c>
      <x:c r="B47" s="2" t="str">
        <x:v>NousResearch/hermes-agent</x:v>
      </x:c>
      <x:c r="C47" s="2" t="n">
        <x:v>49332</x:v>
      </x:c>
      <x:c r="D47" s="2" t="str">
        <x:v>C23</x:v>
      </x:c>
      <x:c r="E47" s="2" t="str">
        <x:v>F01</x:v>
      </x:c>
      <x:c r="F47" s="2" t="str">
        <x:v>F01</x:v>
      </x:c>
      <x:c r="G47" s="2" t="str">
        <x:v>F01</x:v>
      </x:c>
      <x:c r="H47" s="2" t="str">
        <x:v>Representation and usage-contract alignment</x:v>
      </x:c>
      <x:c r="I47" s="2" t="str">
        <x:v>Recorded as implemented in the source data</x:v>
      </x:c>
      <x:c r="J47" s="2" t="str">
        <x:v>Clarify the configuration levels of subagent models</x:v>
      </x:c>
      <x:c r="K47" s="2" t="str">
        <x:v>The focus is correcting content representation, field transmission, static associations, or prompt/usage contracts.  Specific action: clarifying the configuration level of subagent models.  root cause response: Correction of user misunderstandings using tool instructions by invocation arguments that do not exist</x:v>
      </x:c>
      <x:c r="L47" s="2" t="str">
        <x:v>The two sets of labels agree and the original decision is retained; see the original annotations for the action and its association with the root cause.</x:v>
      </x:c>
      <x:c r="M47" s="2" t="str">
        <x:v>https://github.com/NousResearch/hermes-agent/issues/49332</x:v>
      </x:c>
      <x:c r="N47" s="2" t="str">
        <x:v>F01</x:v>
      </x:c>
      <x:c r="O47" s="2" t="str">
        <x:v>Determinate from available evidence</x:v>
      </x:c>
    </x:row>
    <x:row r="48" ht="48.5" customHeight="1">
      <x:c r="A48" s="2" t="str">
        <x:v>P0225</x:v>
      </x:c>
      <x:c r="B48" s="2" t="str">
        <x:v>NousResearch/hermes-agent</x:v>
      </x:c>
      <x:c r="C48" s="2" t="n">
        <x:v>52367</x:v>
      </x:c>
      <x:c r="D48" s="2" t="str">
        <x:v>C23</x:v>
      </x:c>
      <x:c r="E48" s="2" t="str">
        <x:v>F01</x:v>
      </x:c>
      <x:c r="F48" s="2" t="str">
        <x:v>F01</x:v>
      </x:c>
      <x:c r="G48" s="2" t="str">
        <x:v>F01</x:v>
      </x:c>
      <x:c r="H48" s="2" t="str">
        <x:v>Representation and usage-contract alignment</x:v>
      </x:c>
      <x:c r="I48" s="2" t="str">
        <x:v>Recorded as implemented in the source data</x:v>
      </x:c>
      <x:c r="J48" s="2" t="str">
        <x:v>Complete writing standards in learning tips</x:v>
      </x:c>
      <x:c r="K48" s="2" t="str">
        <x:v>The focus is correcting content representation, field transmission, static associations, or prompt/usage contracts.  Specific Action: Integrating the full writing standards in learning tips.  root cause Response: Let the production constraints such as length be consistent with the indexed consumption capacity</x:v>
      </x:c>
      <x:c r="L48" s="2" t="str">
        <x:v>The two sets of labels agree and the original decision is retained; see the original annotations for the action and its association with the root cause.</x:v>
      </x:c>
      <x:c r="M48" s="2" t="str">
        <x:v>https://github.com/NousResearch/hermes-agent/issues/52367</x:v>
      </x:c>
      <x:c r="N48" s="2" t="str">
        <x:v>F01</x:v>
      </x:c>
      <x:c r="O48" s="2" t="str">
        <x:v>Determinate from available evidence</x:v>
      </x:c>
    </x:row>
    <x:row r="49" ht="35" customHeight="1">
      <x:c r="A49" s="2" t="str">
        <x:v>P0226</x:v>
      </x:c>
      <x:c r="B49" s="2" t="str">
        <x:v>NousResearch/hermes-agent</x:v>
      </x:c>
      <x:c r="C49" s="2" t="n">
        <x:v>53667</x:v>
      </x:c>
      <x:c r="D49" s="2" t="str">
        <x:v>C19</x:v>
      </x:c>
      <x:c r="E49" s="2" t="str">
        <x:v>F01</x:v>
      </x:c>
      <x:c r="F49" s="2" t="str">
        <x:v>F01</x:v>
      </x:c>
      <x:c r="G49" s="2" t="str">
        <x:v>F01</x:v>
      </x:c>
      <x:c r="H49" s="2" t="str">
        <x:v>Representation and usage-contract alignment</x:v>
      </x:c>
      <x:c r="I49" s="2" t="str">
        <x:v>Partial coverage</x:v>
      </x:c>
      <x:c r="J49" s="2" t="str">
        <x:v>Remove import that doesn't exist in the detection function</x:v>
      </x:c>
      <x:c r="K49" s="2" t="str">
        <x:v>The action to remove the non-existent import symbols is clear, but sources indicate that it does cover only one of the two diagnoses and retains some coverage. </x:v>
      </x:c>
      <x:c r="L49" s="2" t="str">
        <x:v>Integrating task back-check freeze source material: Removing non-existent import symbols is clear, but the source indicates that it does cover only one of the two diagnoses and retains some coverage.</x:v>
      </x:c>
      <x:c r="M49" s="2" t="str">
        <x:v>https://github.com/NousResearch/hermes-agent/issues/53667</x:v>
      </x:c>
      <x:c r="N49" s="2" t="str">
        <x:v>F01</x:v>
      </x:c>
      <x:c r="O49" s="2" t="str">
        <x:v>Determinate from available evidence</x:v>
      </x:c>
    </x:row>
    <x:row r="50" ht="48.5" customHeight="1">
      <x:c r="A50" s="2" t="str">
        <x:v>P0229</x:v>
      </x:c>
      <x:c r="B50" s="2" t="str">
        <x:v>NousResearch/hermes-agent</x:v>
      </x:c>
      <x:c r="C50" s="2" t="n">
        <x:v>59824</x:v>
      </x:c>
      <x:c r="D50" s="2" t="str">
        <x:v>C18</x:v>
      </x:c>
      <x:c r="E50" s="2" t="str">
        <x:v>F01</x:v>
      </x:c>
      <x:c r="F50" s="2" t="str">
        <x:v>F01</x:v>
      </x:c>
      <x:c r="G50" s="2" t="str">
        <x:v>F01</x:v>
      </x:c>
      <x:c r="H50" s="2" t="str">
        <x:v>Representation and usage-contract alignment</x:v>
      </x:c>
      <x:c r="I50" s="2" t="str">
        <x:v>Recorded as implemented in the source data</x:v>
      </x:c>
      <x:c r="J50" s="2" t="str">
        <x:v>Check the absolute paths in a credible directory prior to standardization and verification</x:v>
      </x:c>
      <x:c r="K50" s="2" t="str">
        <x:v>The standardisation of legitimately credible absolute paths to see functions in acceptable form, leading to F01; the inclusion of calibration tests is retained to support security boundaries. root cause Response: Transform the legal absolute path of scheduled task records into acceptable form, respecting boundaries</x:v>
      </x:c>
      <x:c r="L50" s="2" t="str">
        <x:v>The two sets of labels agree and the original decision is retained; see the original annotations for the action and its association with the root cause.</x:v>
      </x:c>
      <x:c r="M50" s="2" t="str">
        <x:v>https://github.com/NousResearch/hermes-agent/issues/59824</x:v>
      </x:c>
      <x:c r="N50" s="2" t="str">
        <x:v>F01</x:v>
      </x:c>
      <x:c r="O50" s="2" t="str">
        <x:v>Determinate from available evidence</x:v>
      </x:c>
    </x:row>
    <x:row r="51" ht="35" customHeight="1">
      <x:c r="A51" s="2" t="str">
        <x:v>P0236</x:v>
      </x:c>
      <x:c r="B51" s="2" t="str">
        <x:v>NousResearch/hermes-agent</x:v>
      </x:c>
      <x:c r="C51" s="2" t="n">
        <x:v>68053</x:v>
      </x:c>
      <x:c r="D51" s="2" t="str">
        <x:v>C01</x:v>
      </x:c>
      <x:c r="E51" s="2" t="str">
        <x:v>F01</x:v>
      </x:c>
      <x:c r="F51" s="2" t="str">
        <x:v>F01</x:v>
      </x:c>
      <x:c r="G51" s="2" t="str">
        <x:v>F01</x:v>
      </x:c>
      <x:c r="H51" s="2" t="str">
        <x:v>Representation and usage-contract alignment</x:v>
      </x:c>
      <x:c r="I51" s="2" t="str">
        <x:v>Recorded as implemented in the source data</x:v>
      </x:c>
      <x:c r="J51" s="2" t="str">
        <x:v>Code clearly for text reading and protect reading points</x:v>
      </x:c>
      <x:c r="K51" s="2" t="str">
        <x:v>The source table action is unified text-readability coding, assigned to F01; if it is confirmed later that only decode abnormalities are captured, it should be assigned to F03. root cause Response: Eliminate the read-write coding assumption that differences cause the entire lock file interface to crash</x:v>
      </x:c>
      <x:c r="L51" s="2" t="str">
        <x:v>The two sets of labels agree and the original decision is retained; see the original annotations for the action and its association with the root cause.</x:v>
      </x:c>
      <x:c r="M51" s="2" t="str">
        <x:v>https://github.com/NousResearch/hermes-agent/issues/68053</x:v>
      </x:c>
      <x:c r="N51" s="2" t="str">
        <x:v>F01</x:v>
      </x:c>
      <x:c r="O51" s="2" t="str">
        <x:v>Determinate from available evidence</x:v>
      </x:c>
    </x:row>
    <x:row r="52" ht="48.5" customHeight="1">
      <x:c r="A52" s="2" t="str">
        <x:v>P0137</x:v>
      </x:c>
      <x:c r="B52" s="2" t="str">
        <x:v>NousResearch/hermes-agent</x:v>
      </x:c>
      <x:c r="C52" s="2" t="n">
        <x:v>3474</x:v>
      </x:c>
      <x:c r="D52" s="2" t="str">
        <x:v>C10</x:v>
      </x:c>
      <x:c r="E52" s="2" t="str">
        <x:v>F02</x:v>
      </x:c>
      <x:c r="F52" s="2" t="str">
        <x:v>F02</x:v>
      </x:c>
      <x:c r="G52" s="2" t="str">
        <x:v>F02</x:v>
      </x:c>
      <x:c r="H52" s="2" t="str">
        <x:v>Execution-flow and state correction</x:v>
      </x:c>
      <x:c r="I52" s="2" t="str">
        <x:v>Recorded as implemented in the source data</x:v>
      </x:c>
      <x:c r="J52" s="2" t="str">
        <x:v>Non-interactive Skill commands skip confirmation</x:v>
      </x:c>
      <x:c r="K52" s="2" t="str">
        <x:v>The focus is state selection, execution progression, scope, or lifecycle management in the normal path.  Specific action: Non-interactive Skill commands skip confirmation.  root cause Response: No longer waiting for unanswered hints to disable stdin entries</x:v>
      </x:c>
      <x:c r="L52" s="2" t="str">
        <x:v>The two sets of labels agree and the original decision is retained; see the original annotations for the action and its association with the root cause.</x:v>
      </x:c>
      <x:c r="M52" s="2" t="str">
        <x:v>https://github.com/NousResearch/hermes-agent/issues/3474</x:v>
      </x:c>
      <x:c r="N52" s="2" t="str">
        <x:v>F02</x:v>
      </x:c>
      <x:c r="O52" s="2" t="str">
        <x:v>Determinate from available evidence</x:v>
      </x:c>
    </x:row>
    <x:row r="53" ht="48.5" customHeight="1">
      <x:c r="A53" s="2" t="str">
        <x:v>P0030</x:v>
      </x:c>
      <x:c r="B53" s="2" t="str">
        <x:v>openclaw/openclaw</x:v>
      </x:c>
      <x:c r="C53" s="2" t="n">
        <x:v>39497</x:v>
      </x:c>
      <x:c r="D53" s="2" t="str">
        <x:v>C18</x:v>
      </x:c>
      <x:c r="E53" s="2" t="str">
        <x:v>F01</x:v>
      </x:c>
      <x:c r="F53" s="2" t="str">
        <x:v>F01</x:v>
      </x:c>
      <x:c r="G53" s="2" t="str">
        <x:v>F01</x:v>
      </x:c>
      <x:c r="H53" s="2" t="str">
        <x:v>Representation and usage-contract alignment</x:v>
      </x:c>
      <x:c r="I53" s="2" t="str">
        <x:v>Recorded as implemented in the source data</x:v>
      </x:c>
      <x:c r="J53" s="2" t="str">
        <x:v>Read the front map of the Guardian, read only the hangings.</x:v>
      </x:c>
      <x:c r="K53" s="2" t="str">
        <x:v>The focus is correcting content representation, field transmission, static associations, or prompt/usage contracts.  Specific action: read the front map of the Guard only by reading the mounted points.  root cause Response: Map the container reading path to the real work area to avoid legitimate read-wrong escapes</x:v>
      </x:c>
      <x:c r="L53" s="2" t="str">
        <x:v>The two sets of labels agree and the original decision is retained; see the original annotations for the action and its association with the root cause.</x:v>
      </x:c>
      <x:c r="M53" s="2" t="str">
        <x:v>https://github.com/openclaw/openclaw/issues/39497</x:v>
      </x:c>
      <x:c r="N53" s="2" t="str">
        <x:v>F01</x:v>
      </x:c>
      <x:c r="O53" s="2" t="str">
        <x:v>Determinate from available evidence</x:v>
      </x:c>
    </x:row>
    <x:row r="54" ht="48.5" customHeight="1">
      <x:c r="A54" s="2" t="str">
        <x:v>P0048</x:v>
      </x:c>
      <x:c r="B54" s="2" t="str">
        <x:v>openclaw/openclaw</x:v>
      </x:c>
      <x:c r="C54" s="2" t="n">
        <x:v>52540</x:v>
      </x:c>
      <x:c r="D54" s="2" t="str">
        <x:v>C23</x:v>
      </x:c>
      <x:c r="E54" s="2" t="str">
        <x:v>F01</x:v>
      </x:c>
      <x:c r="F54" s="2" t="str">
        <x:v>F01</x:v>
      </x:c>
      <x:c r="G54" s="2" t="str">
        <x:v>F01</x:v>
      </x:c>
      <x:c r="H54" s="2" t="str">
        <x:v>Representation and usage-contract alignment</x:v>
      </x:c>
      <x:c r="I54" s="2" t="str">
        <x:v>Recorded as implemented in the source data</x:v>
      </x:c>
      <x:c r="J54" s="2" t="str">
        <x:v>Revising the Skill operating instructions in authentication mode</x:v>
      </x:c>
      <x:c r="K54" s="2" t="str">
        <x:v>The focus is correcting content representation, field transmission, static associations, or prompt/usage contracts.  Specific action: Modify the Skill Operating Guidelines in authentication manner.    root cause Corresponds: Desktop application authentication No more forced import to uninheritable package environment tmux</x:v>
      </x:c>
      <x:c r="L54" s="2" t="str">
        <x:v>The two sets of labels agree and the original decision is retained; see the original annotations for the action and its association with the root cause.</x:v>
      </x:c>
      <x:c r="M54" s="2" t="str">
        <x:v>https://github.com/openclaw/openclaw/issues/52540</x:v>
      </x:c>
      <x:c r="N54" s="2" t="str">
        <x:v>F01</x:v>
      </x:c>
      <x:c r="O54" s="2" t="str">
        <x:v>Determinate from available evidence</x:v>
      </x:c>
    </x:row>
    <x:row r="55" ht="48.5" customHeight="1">
      <x:c r="A55" s="2" t="str">
        <x:v>P0103</x:v>
      </x:c>
      <x:c r="B55" s="2" t="str">
        <x:v>openclaw/openclaw</x:v>
      </x:c>
      <x:c r="C55" s="2" t="n">
        <x:v>93173</x:v>
      </x:c>
      <x:c r="D55" s="2" t="str">
        <x:v>C03</x:v>
      </x:c>
      <x:c r="E55" s="2" t="str">
        <x:v>F01</x:v>
      </x:c>
      <x:c r="F55" s="2" t="str">
        <x:v>U1</x:v>
      </x:c>
      <x:c r="G55" s="2" t="str">
        <x:v>F01</x:v>
      </x:c>
      <x:c r="H55" s="2" t="str">
        <x:v>Representation and usage-contract alignment</x:v>
      </x:c>
      <x:c r="I55" s="2" t="str">
        <x:v>Recorded as implemented in the source data</x:v>
      </x:c>
      <x:c r="J55" s="2" t="str">
        <x:v>Recommended Action: It is recommended that the details of the proposal be submitted to the approval shipment and alternative calibrations await the budget.</x:v>
      </x:c>
      <x:c r="K55" s="2" t="str">
        <x:v>The primary root cause is that the proposed metadata has not been passed on to the user, closest to the decision information contract; pre-card death is accompanied by running budget issues. This is an additional closest-fit assignment, not an established repair fact.</x:v>
      </x:c>
      <x:c r="L55" s="2" t="str">
        <x:v>One closest-fit strategy is selected as additionally requested.  The primary root cause is that the proposed metadata has not been passed on to the user, closest to the decision information contract; pre-card death is accompanied by running budget issues. This is an additional closest-fit assignment, not an established repair fact.  The original evidence review is U1; this does not establish that a targeted repair has been verified.</x:v>
      </x:c>
      <x:c r="M55" s="2" t="str">
        <x:v>https://github.com/openclaw/openclaw/issues/93173</x:v>
      </x:c>
      <x:c r="N55" s="2" t="str">
        <x:v>U1</x:v>
      </x:c>
      <x:c r="O55" s="2" t="str">
        <x:v>Closest fit to the intent described in the summary</x:v>
      </x:c>
    </x:row>
    <x:row r="56" ht="48.5" customHeight="1">
      <x:c r="A56" s="2" t="str">
        <x:v>P0026</x:v>
      </x:c>
      <x:c r="B56" s="2" t="str">
        <x:v>openclaw/openclaw</x:v>
      </x:c>
      <x:c r="C56" s="2" t="n">
        <x:v>35844</x:v>
      </x:c>
      <x:c r="D56" s="2" t="str">
        <x:v>C23</x:v>
      </x:c>
      <x:c r="E56" s="2" t="str">
        <x:v>F01</x:v>
      </x:c>
      <x:c r="F56" s="2" t="str">
        <x:v>F01</x:v>
      </x:c>
      <x:c r="G56" s="2" t="str">
        <x:v>F01</x:v>
      </x:c>
      <x:c r="H56" s="2" t="str">
        <x:v>Representation and usage-contract alignment</x:v>
      </x:c>
      <x:c r="I56" s="2" t="str">
        <x:v>Candidate change not merged</x:v>
      </x:c>
      <x:c r="J56" s="2" t="str">
        <x:v>Explanation of the Skill only distributing instructions and external tool configuration prerequisites</x:v>
      </x:c>
      <x:c r="K56" s="2" t="str">
        <x:v>The focus is correcting content representation, field transmission, static associations, or prompt/usage contracts.  Specific Action: Indicates Skill only distributing instructions and external tool configuration prerequisites.  root cause Response: Candidate documentation supplements external running reliance to avoid repeated overloads</x:v>
      </x:c>
      <x:c r="L56" s="2" t="str">
        <x:v>The two sets of labels agree and the original decision is retained; see the original annotations for the action and its association with the root cause.</x:v>
      </x:c>
      <x:c r="M56" s="2" t="str">
        <x:v>https://github.com/openclaw/openclaw/issues/35844</x:v>
      </x:c>
      <x:c r="N56" s="2" t="str">
        <x:v>F01</x:v>
      </x:c>
      <x:c r="O56" s="2" t="str">
        <x:v>Determinate from available evidence</x:v>
      </x:c>
    </x:row>
    <x:row r="57" ht="35" customHeight="1">
      <x:c r="A57" s="2" t="str">
        <x:v>P0036</x:v>
      </x:c>
      <x:c r="B57" s="2" t="str">
        <x:v>openclaw/openclaw</x:v>
      </x:c>
      <x:c r="C57" s="2" t="n">
        <x:v>41606</x:v>
      </x:c>
      <x:c r="D57" s="2" t="str">
        <x:v>C20</x:v>
      </x:c>
      <x:c r="E57" s="2" t="str">
        <x:v>F02</x:v>
      </x:c>
      <x:c r="F57" s="2" t="str">
        <x:v>F02</x:v>
      </x:c>
      <x:c r="G57" s="2" t="str">
        <x:v>F02</x:v>
      </x:c>
      <x:c r="H57" s="2" t="str">
        <x:v>Execution-flow and state correction</x:v>
      </x:c>
      <x:c r="I57" s="2" t="str">
        <x:v>Partial coverage</x:v>
      </x:c>
      <x:c r="J57" s="2" t="str">
        <x:v>Reducing Skill listening targets to SKILL.md files</x:v>
      </x:c>
      <x:c r="K57" s="2" t="str">
        <x:v>The focus is state selection, execution progression, scope, or lifecycle management in the normal path.  Specific action: narrowing the Skill listening target to SKILL.md files.  root cause Response: Avoid overcrowding on trees that take up large amounts of FD</x:v>
      </x:c>
      <x:c r="L57" s="2" t="str">
        <x:v>The two sets of labels agree and the original decision is retained; see the original annotations for the action and its association with the root cause.</x:v>
      </x:c>
      <x:c r="M57" s="2" t="str">
        <x:v>https://github.com/openclaw/openclaw/issues/41606</x:v>
      </x:c>
      <x:c r="N57" s="2" t="str">
        <x:v>F02</x:v>
      </x:c>
      <x:c r="O57" s="2" t="str">
        <x:v>Determinate from available evidence</x:v>
      </x:c>
    </x:row>
    <x:row r="58" ht="35" customHeight="1">
      <x:c r="A58" s="2" t="str">
        <x:v>P0040</x:v>
      </x:c>
      <x:c r="B58" s="2" t="str">
        <x:v>openclaw/openclaw</x:v>
      </x:c>
      <x:c r="C58" s="2" t="n">
        <x:v>44051</x:v>
      </x:c>
      <x:c r="D58" s="2" t="str">
        <x:v>C15</x:v>
      </x:c>
      <x:c r="E58" s="2" t="str">
        <x:v>F03</x:v>
      </x:c>
      <x:c r="F58" s="2" t="str">
        <x:v>F03</x:v>
      </x:c>
      <x:c r="G58" s="2" t="str">
        <x:v>F03</x:v>
      </x:c>
      <x:c r="H58" s="2" t="str">
        <x:v>Validation and failure-path hardening</x:v>
      </x:c>
      <x:c r="I58" s="2" t="str">
        <x:v>Recorded as implemented in the source data</x:v>
      </x:c>
      <x:c r="J58" s="2" t="str">
        <x:v>Skill symbol link roots hosted by source</x:v>
      </x:c>
      <x:c r="K58" s="2" t="str">
        <x:v>Security includes sexual inspection by source and is subject to the safety boundary amendment F03. root cause response: Trust local administrator directory links, retain untrustworthy sources and Skill files containing validation</x:v>
      </x:c>
      <x:c r="L58" s="2" t="str">
        <x:v>The two sets of labels agree and the original decision is retained; see the original annotations for the action and its association with the root cause.</x:v>
      </x:c>
      <x:c r="M58" s="2" t="str">
        <x:v>https://github.com/openclaw/openclaw/issues/44051</x:v>
      </x:c>
      <x:c r="N58" s="2" t="str">
        <x:v>F03</x:v>
      </x:c>
      <x:c r="O58" s="2" t="str">
        <x:v>Determinate from available evidence</x:v>
      </x:c>
    </x:row>
    <x:row r="59" ht="35" customHeight="1">
      <x:c r="A59" s="2" t="str">
        <x:v>P0133</x:v>
      </x:c>
      <x:c r="B59" s="2" t="str">
        <x:v>NousResearch/hermes-agent</x:v>
      </x:c>
      <x:c r="C59" s="2" t="n">
        <x:v>1006</x:v>
      </x:c>
      <x:c r="D59" s="2" t="str">
        <x:v>C15</x:v>
      </x:c>
      <x:c r="E59" s="2" t="str">
        <x:v>F03</x:v>
      </x:c>
      <x:c r="F59" s="2" t="str">
        <x:v>F03</x:v>
      </x:c>
      <x:c r="G59" s="2" t="str">
        <x:v>F03</x:v>
      </x:c>
      <x:c r="H59" s="2" t="str">
        <x:v>Validation and failure-path hardening</x:v>
      </x:c>
      <x:c r="I59" s="2" t="str">
        <x:v>Implementation status pending verification</x:v>
      </x:c>
      <x:c r="J59" s="2" t="str">
        <x:v>Restructuring Trust Strategy and Mandatory Installation</x:v>
      </x:c>
      <x:c r="K59" s="2" t="str">
        <x:v>The focus is validation, controlled rejection, exception classification, or fallback after failure.  Specific Action: Restoring Trust Strategy and Mandatory Installation.  root cause response: Make the strategy table and force available to avoid unconditional early blocking</x:v>
      </x:c>
      <x:c r="L59" s="2" t="str">
        <x:v>The two sets of labels agree and the original decision is retained; see the original annotations for the action and its association with the root cause.</x:v>
      </x:c>
      <x:c r="M59" s="2" t="str">
        <x:v>https://github.com/NousResearch/hermes-agent/issues/1006</x:v>
      </x:c>
      <x:c r="N59" s="2" t="str">
        <x:v>F03</x:v>
      </x:c>
      <x:c r="O59" s="2" t="str">
        <x:v>Determinate from available evidence</x:v>
      </x:c>
    </x:row>
    <x:row r="60" ht="48.5" customHeight="1">
      <x:c r="A60" s="2" t="str">
        <x:v>P0150</x:v>
      </x:c>
      <x:c r="B60" s="2" t="str">
        <x:v>NousResearch/hermes-agent</x:v>
      </x:c>
      <x:c r="C60" s="2" t="n">
        <x:v>7547</x:v>
      </x:c>
      <x:c r="D60" s="2" t="str">
        <x:v>C10</x:v>
      </x:c>
      <x:c r="E60" s="2" t="str">
        <x:v>F02</x:v>
      </x:c>
      <x:c r="F60" s="2" t="str">
        <x:v>F02</x:v>
      </x:c>
      <x:c r="G60" s="2" t="str">
        <x:v>F02</x:v>
      </x:c>
      <x:c r="H60" s="2" t="str">
        <x:v>Execution-flow and state correction</x:v>
      </x:c>
      <x:c r="I60" s="2" t="str">
        <x:v>Implementation status pending verification</x:v>
      </x:c>
      <x:c r="J60" s="2" t="str">
        <x:v>Order the sidewalk to join the meeting</x:v>
      </x:c>
      <x:c r="K60" s="2" t="str">
        <x:v>The focus is state selection, execution progression, scope, or lifecycle management in the normal path.  Specific action: ordering the sidewalk to join the meeting of the Guard bypass collection.  root cause Response: Allowing parallel side queries and instant forks to be defended through active session</x:v>
      </x:c>
      <x:c r="L60" s="2" t="str">
        <x:v>The two sets of labels agree and the original decision is retained; see the original annotations for the action and its association with the root cause.</x:v>
      </x:c>
      <x:c r="M60" s="2" t="str">
        <x:v>https://github.com/NousResearch/hermes-agent/issues/7547</x:v>
      </x:c>
      <x:c r="N60" s="2" t="str">
        <x:v>F02</x:v>
      </x:c>
      <x:c r="O60" s="2" t="str">
        <x:v>Determinate from available evidence</x:v>
      </x:c>
    </x:row>
    <x:row r="61" ht="48.5" customHeight="1">
      <x:c r="A61" s="2" t="str">
        <x:v>P0243</x:v>
      </x:c>
      <x:c r="B61" s="2" t="str">
        <x:v>NousResearch/hermes-agent</x:v>
      </x:c>
      <x:c r="C61" s="2" t="n">
        <x:v>79015</x:v>
      </x:c>
      <x:c r="D61" s="2" t="str">
        <x:v>C05</x:v>
      </x:c>
      <x:c r="E61" s="2" t="str">
        <x:v>F01</x:v>
      </x:c>
      <x:c r="F61" s="2" t="str">
        <x:v>F01</x:v>
      </x:c>
      <x:c r="G61" s="2" t="str">
        <x:v>F01</x:v>
      </x:c>
      <x:c r="H61" s="2" t="str">
        <x:v>Representation and usage-contract alignment</x:v>
      </x:c>
      <x:c r="I61" s="2" t="str">
        <x:v>Implementation status pending verification</x:v>
      </x:c>
      <x:c r="J61" s="2" t="str">
        <x:v>To return to the top of the agenda and respect open coverage</x:v>
      </x:c>
      <x:c r="K61" s="2" t="str">
        <x:v>The focus is correcting content representation, field transmission, static associations, or prompt/usage contracts.  Specific Action: To return to the scope of the meeting and respect for explicit coverage.  root cause response: Head with timed session timing consistent with body caching scope</x:v>
      </x:c>
      <x:c r="L61" s="2" t="str">
        <x:v>The two sets of labels agree and the original decision is retained; see the original annotations for the action and its association with the root cause.</x:v>
      </x:c>
      <x:c r="M61" s="2" t="str">
        <x:v>https://github.com/NousResearch/hermes-agent/issues/79015</x:v>
      </x:c>
      <x:c r="N61" s="2" t="str">
        <x:v>F01</x:v>
      </x:c>
      <x:c r="O61" s="2" t="str">
        <x:v>Determinate from available evidence</x:v>
      </x:c>
    </x:row>
    <x:row r="62" ht="35" customHeight="1">
      <x:c r="A62" s="2" t="str">
        <x:v>P0005</x:v>
      </x:c>
      <x:c r="B62" s="2" t="str">
        <x:v>openclaw/openclaw</x:v>
      </x:c>
      <x:c r="C62" s="2" t="n">
        <x:v>8966</x:v>
      </x:c>
      <x:c r="D62" s="2" t="str">
        <x:v>C06</x:v>
      </x:c>
      <x:c r="E62" s="2" t="str">
        <x:v>F03</x:v>
      </x:c>
      <x:c r="F62" s="2" t="str">
        <x:v>F03</x:v>
      </x:c>
      <x:c r="G62" s="2" t="str">
        <x:v>F03</x:v>
      </x:c>
      <x:c r="H62" s="2" t="str">
        <x:v>Validation and failure-path hardening</x:v>
      </x:c>
      <x:c r="I62" s="2" t="str">
        <x:v>Implementation status pending verification</x:v>
      </x:c>
      <x:c r="J62" s="2" t="str">
        <x:v>rollback writes variables when environmental coverage fails</x:v>
      </x:c>
      <x:c r="K62" s="2" t="str">
        <x:v>The focus is validation, controlled rejection, exception classification, or fallback after failure.  Specific Action: rollback writes variables when environmental coverage fails.  root cause Response: Unusually intermediate to no longer leak part of the overall environment until next execution</x:v>
      </x:c>
      <x:c r="L62" s="2" t="str">
        <x:v>The two sets of labels agree and the original decision is retained; see the original annotations for the action and its association with the root cause.</x:v>
      </x:c>
      <x:c r="M62" s="2" t="str">
        <x:v>https://github.com/openclaw/openclaw/issues/8966</x:v>
      </x:c>
      <x:c r="N62" s="2" t="str">
        <x:v>F03</x:v>
      </x:c>
      <x:c r="O62" s="2" t="str">
        <x:v>Determinate from available evidence</x:v>
      </x:c>
    </x:row>
    <x:row r="63" ht="35" customHeight="1">
      <x:c r="A63" s="2" t="str">
        <x:v>P0082</x:v>
      </x:c>
      <x:c r="B63" s="2" t="str">
        <x:v>openclaw/openclaw</x:v>
      </x:c>
      <x:c r="C63" s="2" t="n">
        <x:v>74626</x:v>
      </x:c>
      <x:c r="D63" s="2" t="str">
        <x:v>C03</x:v>
      </x:c>
      <x:c r="E63" s="2" t="str">
        <x:v>F01</x:v>
      </x:c>
      <x:c r="F63" s="2" t="str">
        <x:v>F01</x:v>
      </x:c>
      <x:c r="G63" s="2" t="str">
        <x:v>F01</x:v>
      </x:c>
      <x:c r="H63" s="2" t="str">
        <x:v>Representation and usage-contract alignment</x:v>
      </x:c>
      <x:c r="I63" s="2" t="str">
        <x:v>Implementation status pending verification</x:v>
      </x:c>
      <x:c r="J63" s="2" t="str">
        <x:v>Models that cover the transit method</x:v>
      </x:c>
      <x:c r="K63" s="2" t="str">
        <x:v>The focus is correcting content representation, field transmission, static associations, or prompt/usage contracts.  Concrete action: to cover the model by explicitly transmitting it to the gateway method.  root cause response: Complete the model parameters lost in assembly requested by all derivatives</x:v>
      </x:c>
      <x:c r="L63" s="2" t="str">
        <x:v>The two sets of labels agree and the original decision is retained; see the original annotations for the action and its association with the root cause.</x:v>
      </x:c>
      <x:c r="M63" s="2" t="str">
        <x:v>https://github.com/openclaw/openclaw/issues/74626</x:v>
      </x:c>
      <x:c r="N63" s="2" t="str">
        <x:v>F01</x:v>
      </x:c>
      <x:c r="O63" s="2" t="str">
        <x:v>Determinate from available evidence</x:v>
      </x:c>
    </x:row>
    <x:row r="64" ht="48.5" customHeight="1">
      <x:c r="A64" s="2" t="str">
        <x:v>P0134</x:v>
      </x:c>
      <x:c r="B64" s="2" t="str">
        <x:v>NousResearch/hermes-agent</x:v>
      </x:c>
      <x:c r="C64" s="2" t="n">
        <x:v>1888</x:v>
      </x:c>
      <x:c r="D64" s="2" t="str">
        <x:v>C15</x:v>
      </x:c>
      <x:c r="E64" s="2" t="str">
        <x:v>F03</x:v>
      </x:c>
      <x:c r="F64" s="2" t="str">
        <x:v>F03</x:v>
      </x:c>
      <x:c r="G64" s="2" t="str">
        <x:v>F03</x:v>
      </x:c>
      <x:c r="H64" s="2" t="str">
        <x:v>Validation and failure-path hardening</x:v>
      </x:c>
      <x:c r="I64" s="2" t="str">
        <x:v>Implementation status pending verification</x:v>
      </x:c>
      <x:c r="J64" s="2" t="str">
        <x:v>Clearing the expected batch and modifying the explicit approval order</x:v>
      </x:c>
      <x:c r="K64" s="2" t="str">
        <x:v>The focus is validation, controlled rejection, exception classification, or fallback after failure.  Concrete action: Clearing out anticipated batches and modifying explicit approval orders.  root cause response: distinguish clarified responses from authorization expressions, blocking unrelated messages to trigger approval</x:v>
      </x:c>
      <x:c r="L64" s="2" t="str">
        <x:v>The two sets of labels agree and the original decision is retained; see the original annotations for the action and its association with the root cause.</x:v>
      </x:c>
      <x:c r="M64" s="2" t="str">
        <x:v>https://github.com/NousResearch/hermes-agent/issues/1888</x:v>
      </x:c>
      <x:c r="N64" s="2" t="str">
        <x:v>F03</x:v>
      </x:c>
      <x:c r="O64" s="2" t="str">
        <x:v>Determinate from available evidence</x:v>
      </x:c>
    </x:row>
    <x:row r="65" ht="35" customHeight="1">
      <x:c r="A65" s="2" t="str">
        <x:v>P0242</x:v>
      </x:c>
      <x:c r="B65" s="2" t="str">
        <x:v>NousResearch/hermes-agent</x:v>
      </x:c>
      <x:c r="C65" s="2" t="n">
        <x:v>78148</x:v>
      </x:c>
      <x:c r="D65" s="2" t="str">
        <x:v>C01</x:v>
      </x:c>
      <x:c r="E65" s="2" t="str">
        <x:v>F01</x:v>
      </x:c>
      <x:c r="F65" s="2" t="str">
        <x:v>F01</x:v>
      </x:c>
      <x:c r="G65" s="2" t="str">
        <x:v>F01</x:v>
      </x:c>
      <x:c r="H65" s="2" t="str">
        <x:v>Representation and usage-contract alignment</x:v>
      </x:c>
      <x:c r="I65" s="2" t="str">
        <x:v>Implementation status pending verification</x:v>
      </x:c>
      <x:c r="J65" s="2" t="str">
        <x:v>Filtering tool marking and restoring and clearing history</x:v>
      </x:c>
      <x:c r="K65" s="2" t="str">
        <x:v>The new output scrapping protocol script is mainly due to the modification of F01, historical repair and cleanup supporting governance.  root cause Response: Preventing the persistence of new shelves and the recovery of old pollution</x:v>
      </x:c>
      <x:c r="L65" s="2" t="str">
        <x:v>The two sets of labels agree and the original decision is retained; see the original annotations for the action and its association with the root cause.</x:v>
      </x:c>
      <x:c r="M65" s="2" t="str">
        <x:v>https://github.com/NousResearch/hermes-agent/issues/78148</x:v>
      </x:c>
      <x:c r="N65" s="2" t="str">
        <x:v>F01</x:v>
      </x:c>
      <x:c r="O65" s="2" t="str">
        <x:v>Determinate from available evidence</x:v>
      </x:c>
    </x:row>
    <x:row r="66" ht="48.5" customHeight="1">
      <x:c r="A66" s="2" t="str">
        <x:v>P0007</x:v>
      </x:c>
      <x:c r="B66" s="2" t="str">
        <x:v>openclaw/openclaw</x:v>
      </x:c>
      <x:c r="C66" s="2" t="n">
        <x:v>10136</x:v>
      </x:c>
      <x:c r="D66" s="2" t="str">
        <x:v>C03</x:v>
      </x:c>
      <x:c r="E66" s="2" t="str">
        <x:v>F01</x:v>
      </x:c>
      <x:c r="F66" s="2" t="str">
        <x:v>F01</x:v>
      </x:c>
      <x:c r="G66" s="2" t="str">
        <x:v>F01</x:v>
      </x:c>
      <x:c r="H66" s="2" t="str">
        <x:v>Representation and usage-contract alignment</x:v>
      </x:c>
      <x:c r="I66" s="2" t="str">
        <x:v>Implementation status pending verification</x:v>
      </x:c>
      <x:c r="J66" s="2" t="str">
        <x:v>Creating sessions with effective sandbox workshops</x:v>
      </x:c>
      <x:c r="K66" s="2" t="str">
        <x:v>The focus is correcting content representation, field transmission, static associations, or prompt/usage contracts.  Concrete action: Create sessions in an effective sandbox working area.  root cause Response: Let SDK default resource loader use the correct cwd detection Skill template</x:v>
      </x:c>
      <x:c r="L66" s="2" t="str">
        <x:v>The two sets of labels agree and the original decision is retained; see the original annotations for the action and its association with the root cause.</x:v>
      </x:c>
      <x:c r="M66" s="2" t="str">
        <x:v>https://github.com/openclaw/openclaw/issues/10136</x:v>
      </x:c>
      <x:c r="N66" s="2" t="str">
        <x:v>F01</x:v>
      </x:c>
      <x:c r="O66" s="2" t="str">
        <x:v>Determinate from available evidence</x:v>
      </x:c>
    </x:row>
    <x:row r="67" ht="48.5" customHeight="1">
      <x:c r="A67" s="2" t="str">
        <x:v>P0085</x:v>
      </x:c>
      <x:c r="B67" s="2" t="str">
        <x:v>openclaw/openclaw</x:v>
      </x:c>
      <x:c r="C67" s="2" t="n">
        <x:v>76071</x:v>
      </x:c>
      <x:c r="D67" s="2" t="str">
        <x:v>C13</x:v>
      </x:c>
      <x:c r="E67" s="2" t="str">
        <x:v>F02</x:v>
      </x:c>
      <x:c r="F67" s="2" t="str">
        <x:v>F02</x:v>
      </x:c>
      <x:c r="G67" s="2" t="str">
        <x:v>F02</x:v>
      </x:c>
      <x:c r="H67" s="2" t="str">
        <x:v>Execution-flow and state correction</x:v>
      </x:c>
      <x:c r="I67" s="2" t="str">
        <x:v>Implementation status pending verification</x:v>
      </x:c>
      <x:c r="J67" s="2" t="str">
        <x:v>Signature-only streaming events</x:v>
      </x:c>
      <x:c r="K67" s="2" t="str">
        <x:v>The focus is state selection, execution progression, scope, or lifecycle management in the normal path.  Specific action: Signature-only streaming events.  root cause Response: Let the dog observe the actual activity during model reasoning</x:v>
      </x:c>
      <x:c r="L67" s="2" t="str">
        <x:v>The two sets of labels agree and the original decision is retained; see the original annotations for the action and its association with the root cause.</x:v>
      </x:c>
      <x:c r="M67" s="2" t="str">
        <x:v>https://github.com/openclaw/openclaw/issues/76071</x:v>
      </x:c>
      <x:c r="N67" s="2" t="str">
        <x:v>F02</x:v>
      </x:c>
      <x:c r="O67" s="2" t="str">
        <x:v>Determinate from available evidence</x:v>
      </x:c>
    </x:row>
    <x:row r="68" ht="48.5" customHeight="1">
      <x:c r="A68" s="2" t="str">
        <x:v>P0114</x:v>
      </x:c>
      <x:c r="B68" s="2" t="str">
        <x:v>openclaw/openclaw</x:v>
      </x:c>
      <x:c r="C68" s="2" t="n">
        <x:v>117470</x:v>
      </x:c>
      <x:c r="D68" s="2" t="str">
        <x:v>C16</x:v>
      </x:c>
      <x:c r="E68" s="2" t="str">
        <x:v>F02</x:v>
      </x:c>
      <x:c r="F68" s="2" t="str">
        <x:v>F02</x:v>
      </x:c>
      <x:c r="G68" s="2" t="str">
        <x:v>F02</x:v>
      </x:c>
      <x:c r="H68" s="2" t="str">
        <x:v>Execution-flow and state correction</x:v>
      </x:c>
      <x:c r="I68" s="2" t="str">
        <x:v>Implementation status pending verification</x:v>
      </x:c>
      <x:c r="J68" s="2" t="str">
        <x:v>Coverage and counting of cache usage prior to compression</x:v>
      </x:c>
      <x:c r="K68" s="2" t="str">
        <x:v>The actual coverage and budget caliber of the selection session prior to execution is mainly run-time status selection F02; token statistical contracts are and act as.  root cause response: Fast path uses a session real model with full token caliber to avoid the wrong budget compression</x:v>
      </x:c>
      <x:c r="L68" s="2" t="str">
        <x:v>The two sets of labels agree and the original decision is retained; see the original annotations for the action and its association with the root cause.</x:v>
      </x:c>
      <x:c r="M68" s="2" t="str">
        <x:v>https://github.com/openclaw/openclaw/issues/117470</x:v>
      </x:c>
      <x:c r="N68" s="2" t="str">
        <x:v>F02</x:v>
      </x:c>
      <x:c r="O68" s="2" t="str">
        <x:v>Determinate from available evidence</x:v>
      </x:c>
    </x:row>
    <x:row r="69" ht="48.5" customHeight="1">
      <x:c r="A69" s="2" t="str">
        <x:v>P0042</x:v>
      </x:c>
      <x:c r="B69" s="2" t="str">
        <x:v>openclaw/openclaw</x:v>
      </x:c>
      <x:c r="C69" s="2" t="n">
        <x:v>48932</x:v>
      </x:c>
      <x:c r="D69" s="2" t="str">
        <x:v>C02</x:v>
      </x:c>
      <x:c r="E69" s="2" t="str">
        <x:v>F01</x:v>
      </x:c>
      <x:c r="F69" s="2" t="str">
        <x:v>F01</x:v>
      </x:c>
      <x:c r="G69" s="2" t="str">
        <x:v>F01</x:v>
      </x:c>
      <x:c r="H69" s="2" t="str">
        <x:v>Representation and usage-contract alignment</x:v>
      </x:c>
      <x:c r="I69" s="2" t="str">
        <x:v>Candidate change not merged</x:v>
      </x:c>
      <x:c r="J69" s="2" t="str">
        <x:v>Additional note uploads failed police reporting and findings statistics</x:v>
      </x:c>
      <x:c r="K69" s="2" t="str">
        <x:v>The focus is correcting content representation, field transmission, static associations, or prompt/usage contracts.  Specific action: Additional note uploads failed police reports and findings statistics.  root cause response: Let the failure of formatting be no longer disguised as Skill, giving path sources and formatting suggestions</x:v>
      </x:c>
      <x:c r="L69" s="2" t="str">
        <x:v>The two sets of labels agree and the original decision is retained; see the original annotations for the action and its association with the root cause.</x:v>
      </x:c>
      <x:c r="M69" s="2" t="str">
        <x:v>https://github.com/openclaw/openclaw/issues/48932</x:v>
      </x:c>
      <x:c r="N69" s="2" t="str">
        <x:v>F01</x:v>
      </x:c>
      <x:c r="O69" s="2" t="str">
        <x:v>Determinate from available evidence</x:v>
      </x:c>
    </x:row>
    <x:row r="70" ht="35" customHeight="1">
      <x:c r="A70" s="2" t="str">
        <x:v>P0066</x:v>
      </x:c>
      <x:c r="B70" s="2" t="str">
        <x:v>openclaw/openclaw</x:v>
      </x:c>
      <x:c r="C70" s="2" t="n">
        <x:v>66769</x:v>
      </x:c>
      <x:c r="D70" s="2" t="str">
        <x:v>C15</x:v>
      </x:c>
      <x:c r="E70" s="2" t="str">
        <x:v>F03</x:v>
      </x:c>
      <x:c r="F70" s="2" t="str">
        <x:v>F03</x:v>
      </x:c>
      <x:c r="G70" s="2" t="str">
        <x:v>F03</x:v>
      </x:c>
      <x:c r="H70" s="2" t="str">
        <x:v>Validation and failure-path hardening</x:v>
      </x:c>
      <x:c r="I70" s="2" t="str">
        <x:v>Recorded as implemented in the source data</x:v>
      </x:c>
      <x:c r="J70" s="2" t="str">
        <x:v>response configuration to deactivate and return</x:v>
      </x:c>
      <x:c r="K70" s="2" t="str">
        <x:v>The focus is validation, controlled rejection, exception classification, or fallback after failure.  Specific action: response configuration to deactivate and return.  root cause: Make full credentials for written use only and not distributed to downstream consumers</x:v>
      </x:c>
      <x:c r="L70" s="2" t="str">
        <x:v>The two sets of labels agree and the original decision is retained; see the original annotations for the action and its association with the root cause.</x:v>
      </x:c>
      <x:c r="M70" s="2" t="str">
        <x:v>https://github.com/openclaw/openclaw/issues/66769</x:v>
      </x:c>
      <x:c r="N70" s="2" t="str">
        <x:v>F03</x:v>
      </x:c>
      <x:c r="O70" s="2" t="str">
        <x:v>Determinate from available evidence</x:v>
      </x:c>
    </x:row>
    <x:row r="71" ht="48.5" customHeight="1">
      <x:c r="A71" s="2" t="str">
        <x:v>P0091</x:v>
      </x:c>
      <x:c r="B71" s="2" t="str">
        <x:v>openclaw/openclaw</x:v>
      </x:c>
      <x:c r="C71" s="2" t="n">
        <x:v>80206</x:v>
      </x:c>
      <x:c r="D71" s="2" t="str">
        <x:v>C17</x:v>
      </x:c>
      <x:c r="E71" s="2" t="str">
        <x:v>F04</x:v>
      </x:c>
      <x:c r="F71" s="2" t="str">
        <x:v>F04</x:v>
      </x:c>
      <x:c r="G71" s="2" t="str">
        <x:v>F04</x:v>
      </x:c>
      <x:c r="H71" s="2" t="str">
        <x:v>Environment and distribution adaptation</x:v>
      </x:c>
      <x:c r="I71" s="2" t="str">
        <x:v>Recorded as implemented in the source data</x:v>
      </x:c>
      <x:c r="J71" s="2" t="str">
        <x:v>Completing the PATH process and maintaining the apparent unit configuration</x:v>
      </x:c>
      <x:c r="K71" s="2" t="str">
        <x:v>The focus is platform prerequisites, build dependencies, deployment, or installation/distribution artifacts.  Specific Action: Completing the process of maintaining PATH and maintaining explicit unit configuration.  root cause Response: The gateway detects that interaction shell is already binary, refresh does not cover the explicit environment</x:v>
      </x:c>
      <x:c r="L71" s="2" t="str">
        <x:v>The two sets of labels agree and the original decision is retained; see the original annotations for the action and its association with the root cause.</x:v>
      </x:c>
      <x:c r="M71" s="2" t="str">
        <x:v>https://github.com/openclaw/openclaw/issues/80206</x:v>
      </x:c>
      <x:c r="N71" s="2" t="str">
        <x:v>F04</x:v>
      </x:c>
      <x:c r="O71" s="2" t="str">
        <x:v>Determinate from available evidence</x:v>
      </x:c>
    </x:row>
    <x:row r="72" ht="35" customHeight="1">
      <x:c r="A72" s="2" t="str">
        <x:v>P0094</x:v>
      </x:c>
      <x:c r="B72" s="2" t="str">
        <x:v>openclaw/openclaw</x:v>
      </x:c>
      <x:c r="C72" s="2" t="n">
        <x:v>84572</x:v>
      </x:c>
      <x:c r="D72" s="2" t="str">
        <x:v>C01</x:v>
      </x:c>
      <x:c r="E72" s="2" t="str">
        <x:v>F01</x:v>
      </x:c>
      <x:c r="F72" s="2" t="str">
        <x:v>F03</x:v>
      </x:c>
      <x:c r="G72" s="2" t="str">
        <x:v>F01</x:v>
      </x:c>
      <x:c r="H72" s="2" t="str">
        <x:v>Representation and usage-contract alignment</x:v>
      </x:c>
      <x:c r="I72" s="2" t="str">
        <x:v>Recorded as implemented in the source data</x:v>
      </x:c>
      <x:c r="J72" s="2" t="str">
        <x:v>Added word boundary checks after slash command forecasts</x:v>
      </x:c>
      <x:c r="K72" s="2" t="str">
        <x:v>The word boundary belongs to the normal slash command word law parsing rules, which change the syntax recognition of the command, not illegal input authorization refusal.</x:v>
      </x:c>
      <x:c r="L72" s="2" t="str">
        <x:v>Integrating task back-checking frozen source material: word boundaries belong to normal slash command lexical parsing rules, changing the syntax recognition of commands, not illegal input authorization refusal.</x:v>
      </x:c>
      <x:c r="M72" s="2" t="str">
        <x:v>https://github.com/openclaw/openclaw/issues/84572</x:v>
      </x:c>
      <x:c r="N72" s="2" t="str">
        <x:v>F01</x:v>
      </x:c>
      <x:c r="O72" s="2" t="str">
        <x:v>Determinate from available evidence</x:v>
      </x:c>
    </x:row>
    <x:row r="73" ht="35" customHeight="1">
      <x:c r="A73" s="2" t="str">
        <x:v>P0098</x:v>
      </x:c>
      <x:c r="B73" s="2" t="str">
        <x:v>openclaw/openclaw</x:v>
      </x:c>
      <x:c r="C73" s="2" t="n">
        <x:v>90244</x:v>
      </x:c>
      <x:c r="D73" s="2" t="str">
        <x:v>C16</x:v>
      </x:c>
      <x:c r="E73" s="2" t="str">
        <x:v>F03</x:v>
      </x:c>
      <x:c r="F73" s="2" t="str">
        <x:v>F03</x:v>
      </x:c>
      <x:c r="G73" s="2" t="str">
        <x:v>F03</x:v>
      </x:c>
      <x:c r="H73" s="2" t="str">
        <x:v>Validation and failure-path hardening</x:v>
      </x:c>
      <x:c r="I73" s="2" t="str">
        <x:v>Recorded as implemented in the source data</x:v>
      </x:c>
      <x:c r="J73" s="2" t="str">
        <x:v>Retired Plugin Configuration Mistakes Decreased to Migration</x:v>
      </x:c>
      <x:c r="K73" s="2" t="str">
        <x:v>In practice, the failure of the test is converted into a continuing complaint instead of merely changing the documentation, classified by failure and downgraded to F03. root cause response: Recognize defunct configuration form, avoid old entries blocking the entire configuration check</x:v>
      </x:c>
      <x:c r="L73" s="2" t="str">
        <x:v>The two sets of labels agree and the original decision is retained; see the original annotations for the action and its association with the root cause.</x:v>
      </x:c>
      <x:c r="M73" s="2" t="str">
        <x:v>https://github.com/openclaw/openclaw/issues/90244</x:v>
      </x:c>
      <x:c r="N73" s="2" t="str">
        <x:v>F03</x:v>
      </x:c>
      <x:c r="O73" s="2" t="str">
        <x:v>Determinate from available evidence</x:v>
      </x:c>
    </x:row>
    <x:row r="74" ht="48.5" customHeight="1">
      <x:c r="A74" s="2" t="str">
        <x:v>P0192</x:v>
      </x:c>
      <x:c r="B74" s="2" t="str">
        <x:v>NousResearch/hermes-agent</x:v>
      </x:c>
      <x:c r="C74" s="2" t="n">
        <x:v>30531</x:v>
      </x:c>
      <x:c r="D74" s="2" t="str">
        <x:v>C03</x:v>
      </x:c>
      <x:c r="E74" s="2" t="str">
        <x:v>F01</x:v>
      </x:c>
      <x:c r="F74" s="2" t="str">
        <x:v>F01</x:v>
      </x:c>
      <x:c r="G74" s="2" t="str">
        <x:v>F01</x:v>
      </x:c>
      <x:c r="H74" s="2" t="str">
        <x:v>Representation and usage-contract alignment</x:v>
      </x:c>
      <x:c r="I74" s="2" t="str">
        <x:v>Recorded as implemented in the source data</x:v>
      </x:c>
      <x:c r="J74" s="2" t="str">
        <x:v>Background review of inheritance of parent session reasoning configuration</x:v>
      </x:c>
      <x:c r="K74" s="2" t="str">
        <x:v>The focus is correcting content representation, field transmission, static associations, or prompt/usage contracts.  Concrete Action: Background Review of the Legacy of parent session Reasoning Configuration.  root cause response: Complement thinking parameters source to keep caching requests consistent with parent session</x:v>
      </x:c>
      <x:c r="L74" s="2" t="str">
        <x:v>The two sets of labels agree and the original decision is retained; see the original annotations for the action and its association with the root cause.</x:v>
      </x:c>
      <x:c r="M74" s="2" t="str">
        <x:v>https://github.com/NousResearch/hermes-agent/issues/30531</x:v>
      </x:c>
      <x:c r="N74" s="2" t="str">
        <x:v>F01</x:v>
      </x:c>
      <x:c r="O74" s="2" t="str">
        <x:v>Determinate from available evidence</x:v>
      </x:c>
    </x:row>
    <x:row r="75" ht="48.5" customHeight="1">
      <x:c r="A75" s="2" t="str">
        <x:v>P0190</x:v>
      </x:c>
      <x:c r="B75" s="2" t="str">
        <x:v>NousResearch/hermes-agent</x:v>
      </x:c>
      <x:c r="C75" s="2" t="n">
        <x:v>29415</x:v>
      </x:c>
      <x:c r="D75" s="2" t="str">
        <x:v>C16</x:v>
      </x:c>
      <x:c r="E75" s="2" t="str">
        <x:v>F01</x:v>
      </x:c>
      <x:c r="F75" s="2" t="str">
        <x:v>F01</x:v>
      </x:c>
      <x:c r="G75" s="2" t="str">
        <x:v>F01</x:v>
      </x:c>
      <x:c r="H75" s="2" t="str">
        <x:v>Representation and usage-contract alignment</x:v>
      </x:c>
      <x:c r="I75" s="2" t="str">
        <x:v>Recorded as implemented in the source data</x:v>
      </x:c>
      <x:c r="J75" s="2" t="str">
        <x:v>Replacing defective Skill reference and transmission distribution configurations</x:v>
      </x:c>
      <x:c r="K75" s="2" t="str">
        <x:v>The focus is correcting content representation, field transmission, static associations, or prompt/usage contracts.  Specific action: Replace defective Skill references and transmit distribution configurations.  root cause Response: Eliminate Skill and Distribution Parameters from Hard Encoding</x:v>
      </x:c>
      <x:c r="L75" s="2" t="str">
        <x:v>The two sets of labels agree and the original decision is retained; see the original annotations for the action and its association with the root cause.</x:v>
      </x:c>
      <x:c r="M75" s="2" t="str">
        <x:v>https://github.com/NousResearch/hermes-agent/issues/29415</x:v>
      </x:c>
      <x:c r="N75" s="2" t="str">
        <x:v>F01</x:v>
      </x:c>
      <x:c r="O75" s="2" t="str">
        <x:v>Determinate from available evidence</x:v>
      </x:c>
    </x:row>
    <x:row r="76" ht="48.5" customHeight="1">
      <x:c r="A76" s="2" t="str">
        <x:v>P0188</x:v>
      </x:c>
      <x:c r="B76" s="2" t="str">
        <x:v>NousResearch/hermes-agent</x:v>
      </x:c>
      <x:c r="C76" s="2" t="n">
        <x:v>28780</x:v>
      </x:c>
      <x:c r="D76" s="2" t="str">
        <x:v>C03</x:v>
      </x:c>
      <x:c r="E76" s="2" t="str">
        <x:v>F01</x:v>
      </x:c>
      <x:c r="F76" s="2" t="str">
        <x:v>F01</x:v>
      </x:c>
      <x:c r="G76" s="2" t="str">
        <x:v>F01</x:v>
      </x:c>
      <x:c r="H76" s="2" t="str">
        <x:v>Representation and usage-contract alignment</x:v>
      </x:c>
      <x:c r="I76" s="2" t="str">
        <x:v>Recorded as implemented in the source data</x:v>
      </x:c>
      <x:c r="J76" s="2" t="str">
        <x:v>Reserving open session coverage before the sub-command</x:v>
      </x:c>
      <x:c r="K76" s="2" t="str">
        <x:v>The focus is correcting content representation, field transmission, static associations, or prompt/usage contracts.  Specific action: Reserving explicit session coverage before the parsing subcommand.  root cause Response: Enabling all parameters such as model and toolset to reach the session to start configuration</x:v>
      </x:c>
      <x:c r="L76" s="2" t="str">
        <x:v>The two sets of labels agree and the original decision is retained; see the original annotations for the action and its association with the root cause.</x:v>
      </x:c>
      <x:c r="M76" s="2" t="str">
        <x:v>https://github.com/NousResearch/hermes-agent/issues/28780</x:v>
      </x:c>
      <x:c r="N76" s="2" t="str">
        <x:v>F01</x:v>
      </x:c>
      <x:c r="O76" s="2" t="str">
        <x:v>Determinate from available evidence</x:v>
      </x:c>
    </x:row>
    <x:row r="77" ht="35" customHeight="1">
      <x:c r="A77" s="2" t="str">
        <x:v>P0187</x:v>
      </x:c>
      <x:c r="B77" s="2" t="str">
        <x:v>NousResearch/hermes-agent</x:v>
      </x:c>
      <x:c r="C77" s="2" t="n">
        <x:v>28126</x:v>
      </x:c>
      <x:c r="D77" s="2" t="str">
        <x:v>C09</x:v>
      </x:c>
      <x:c r="E77" s="2" t="str">
        <x:v>F04</x:v>
      </x:c>
      <x:c r="F77" s="2" t="str">
        <x:v>F04</x:v>
      </x:c>
      <x:c r="G77" s="2" t="str">
        <x:v>F04</x:v>
      </x:c>
      <x:c r="H77" s="2" t="str">
        <x:v>Environment and distribution adaptation</x:v>
      </x:c>
      <x:c r="I77" s="2" t="str">
        <x:v>Recorded as implemented in the source data</x:v>
      </x:c>
      <x:c r="J77" s="2" t="str">
        <x:v>At the same time respecting external Skill entrusted sources</x:v>
      </x:c>
      <x:c r="K77" s="2" t="str">
        <x:v>Skill entities commissioned by the profile are no longer covered by synchronous distribution and are filtered back to F04 by copying.  root cause response: not commissioning profile to write a packed copy, avoiding covering up external versions</x:v>
      </x:c>
      <x:c r="L77" s="2" t="str">
        <x:v>The two sets of labels agree and the original decision is retained; see the original annotations for the action and its association with the root cause.</x:v>
      </x:c>
      <x:c r="M77" s="2" t="str">
        <x:v>https://github.com/NousResearch/hermes-agent/issues/28126</x:v>
      </x:c>
      <x:c r="N77" s="2" t="str">
        <x:v>F04</x:v>
      </x:c>
      <x:c r="O77" s="2" t="str">
        <x:v>Determinate from available evidence</x:v>
      </x:c>
    </x:row>
    <x:row r="78" ht="48.5" customHeight="1">
      <x:c r="A78" s="2" t="str">
        <x:v>P0186</x:v>
      </x:c>
      <x:c r="B78" s="2" t="str">
        <x:v>NousResearch/hermes-agent</x:v>
      </x:c>
      <x:c r="C78" s="2" t="n">
        <x:v>26167</x:v>
      </x:c>
      <x:c r="D78" s="2" t="str">
        <x:v>C08</x:v>
      </x:c>
      <x:c r="E78" s="2" t="str">
        <x:v>F01</x:v>
      </x:c>
      <x:c r="F78" s="2" t="str">
        <x:v>F01</x:v>
      </x:c>
      <x:c r="G78" s="2" t="str">
        <x:v>F01</x:v>
      </x:c>
      <x:c r="H78" s="2" t="str">
        <x:v>Representation and usage-contract alignment</x:v>
      </x:c>
      <x:c r="I78" s="2" t="str">
        <x:v>Recorded as implemented in the source data</x:v>
      </x:c>
      <x:c r="J78" s="2" t="str">
        <x:v>Expanded self-knowledge tips and guidelines for documentation Skill</x:v>
      </x:c>
      <x:c r="K78" s="2" t="str">
        <x:v>The focus is correcting content representation, field transmission, static associations, or prompt/usage contracts.  Specific Action: Expanding self-knowledge tips and guides to look at Skill documents.  root cause response: Encourage proof-of-capacity pre-modelling and reduce unfounded negation</x:v>
      </x:c>
      <x:c r="L78" s="2" t="str">
        <x:v>The two sets of labels agree and the original decision is retained; see the original annotations for the action and its association with the root cause.</x:v>
      </x:c>
      <x:c r="M78" s="2" t="str">
        <x:v>https://github.com/NousResearch/hermes-agent/issues/26167</x:v>
      </x:c>
      <x:c r="N78" s="2" t="str">
        <x:v>F01</x:v>
      </x:c>
      <x:c r="O78" s="2" t="str">
        <x:v>Determinate from available evidence</x:v>
      </x:c>
    </x:row>
    <x:row r="79" ht="35" customHeight="1">
      <x:c r="A79" s="2" t="str">
        <x:v>P0184</x:v>
      </x:c>
      <x:c r="B79" s="2" t="str">
        <x:v>NousResearch/hermes-agent</x:v>
      </x:c>
      <x:c r="C79" s="2" t="n">
        <x:v>22588</x:v>
      </x:c>
      <x:c r="D79" s="2" t="str">
        <x:v>C15</x:v>
      </x:c>
      <x:c r="E79" s="2" t="str">
        <x:v>F03</x:v>
      </x:c>
      <x:c r="F79" s="2" t="str">
        <x:v>F03</x:v>
      </x:c>
      <x:c r="G79" s="2" t="str">
        <x:v>F03</x:v>
      </x:c>
      <x:c r="H79" s="2" t="str">
        <x:v>Validation and failure-path hardening</x:v>
      </x:c>
      <x:c r="I79" s="2" t="str">
        <x:v>Recorded as implemented in the source data</x:v>
      </x:c>
      <x:c r="J79" s="2" t="str">
        <x:v>The key rules for narrow scanning of sample content</x:v>
      </x:c>
      <x:c r="K79" s="2" t="str">
        <x:v>The focus is validation, controlled rejection, exception classification, or fallback after failure.  Concrete action: narrow scanner key rules for sample content.    root cause Corresponding: Reduction of legal built-in Skill token Misreporting of placeholders blocking</x:v>
      </x:c>
      <x:c r="L79" s="2" t="str">
        <x:v>The two sets of labels agree and the original decision is retained; see the original annotations for the action and its association with the root cause.</x:v>
      </x:c>
      <x:c r="M79" s="2" t="str">
        <x:v>https://github.com/NousResearch/hermes-agent/issues/22588</x:v>
      </x:c>
      <x:c r="N79" s="2" t="str">
        <x:v>F03</x:v>
      </x:c>
      <x:c r="O79" s="2" t="str">
        <x:v>Determinate from available evidence</x:v>
      </x:c>
    </x:row>
    <x:row r="80" ht="48.5" customHeight="1">
      <x:c r="A80" s="2" t="str">
        <x:v>P0183</x:v>
      </x:c>
      <x:c r="B80" s="2" t="str">
        <x:v>NousResearch/hermes-agent</x:v>
      </x:c>
      <x:c r="C80" s="2" t="n">
        <x:v>20782</x:v>
      </x:c>
      <x:c r="D80" s="2" t="str">
        <x:v>C18</x:v>
      </x:c>
      <x:c r="E80" s="2" t="str">
        <x:v>F04</x:v>
      </x:c>
      <x:c r="F80" s="2" t="str">
        <x:v>F04</x:v>
      </x:c>
      <x:c r="G80" s="2" t="str">
        <x:v>F04</x:v>
      </x:c>
      <x:c r="H80" s="2" t="str">
        <x:v>Environment and distribution adaptation</x:v>
      </x:c>
      <x:c r="I80" s="2" t="str">
        <x:v>Recorded as implemented in the source data</x:v>
      </x:c>
      <x:c r="J80" s="2" t="str">
        <x:v>Modify Windows shell and file writing paths</x:v>
      </x:c>
      <x:c r="K80" s="2" t="str">
        <x:v>The focus is platform prerequisites, build dependencies, deployment, or installation/distribution artifacts.  Specific Action: Modify Windows shell and Document Writing Paths.  root cause response: Sharing mainline action corresponding to tool enclosure shell and write file mismatch</x:v>
      </x:c>
      <x:c r="L80" s="2" t="str">
        <x:v>The two sets of labels agree and the original decision is retained; see the original annotations for the action and its association with the root cause.</x:v>
      </x:c>
      <x:c r="M80" s="2" t="str">
        <x:v>https://github.com/NousResearch/hermes-agent/issues/20782</x:v>
      </x:c>
      <x:c r="N80" s="2" t="str">
        <x:v>F04</x:v>
      </x:c>
      <x:c r="O80" s="2" t="str">
        <x:v>Determinate from available evidence</x:v>
      </x:c>
    </x:row>
    <x:row r="81" ht="48.5" customHeight="1">
      <x:c r="A81" s="2" t="str">
        <x:v>P0182</x:v>
      </x:c>
      <x:c r="B81" s="2" t="str">
        <x:v>NousResearch/hermes-agent</x:v>
      </x:c>
      <x:c r="C81" s="2" t="n">
        <x:v>20074</x:v>
      </x:c>
      <x:c r="D81" s="2" t="str">
        <x:v>C06</x:v>
      </x:c>
      <x:c r="E81" s="2" t="str">
        <x:v>F02</x:v>
      </x:c>
      <x:c r="F81" s="2" t="str">
        <x:v>F02</x:v>
      </x:c>
      <x:c r="G81" s="2" t="str">
        <x:v>F02</x:v>
      </x:c>
      <x:c r="H81" s="2" t="str">
        <x:v>Execution-flow and state correction</x:v>
      </x:c>
      <x:c r="I81" s="2" t="str">
        <x:v>Recorded as implemented in the source data</x:v>
      </x:c>
      <x:c r="J81" s="2" t="str">
        <x:v>The meeting starts with the fixed sign environment variable</x:v>
      </x:c>
      <x:c r="K81" s="2" t="str">
        <x:v>The focus is state selection, execution progression, scope, or lifecycle management in the normal path.  Concrete action: Starting the meeting with fixed sign environment variable.    root cause Reciprocal: let internal and external CLI Share the same database selection to avoid backstage switching leading to drifting</x:v>
      </x:c>
      <x:c r="L81" s="2" t="str">
        <x:v>The two sets of labels agree and the original decision is retained; see the original annotations for the action and its association with the root cause.</x:v>
      </x:c>
      <x:c r="M81" s="2" t="str">
        <x:v>https://github.com/NousResearch/hermes-agent/issues/20074</x:v>
      </x:c>
      <x:c r="N81" s="2" t="str">
        <x:v>F02</x:v>
      </x:c>
      <x:c r="O81" s="2" t="str">
        <x:v>Determinate from available evidence</x:v>
      </x:c>
    </x:row>
    <x:row r="82" ht="35" customHeight="1">
      <x:c r="A82" s="2" t="str">
        <x:v>P0181</x:v>
      </x:c>
      <x:c r="B82" s="2" t="str">
        <x:v>NousResearch/hermes-agent</x:v>
      </x:c>
      <x:c r="C82" s="2" t="n">
        <x:v>20017</x:v>
      </x:c>
      <x:c r="D82" s="2" t="str">
        <x:v>C05</x:v>
      </x:c>
      <x:c r="E82" s="2" t="str">
        <x:v>F03</x:v>
      </x:c>
      <x:c r="F82" s="2" t="str">
        <x:v>F03</x:v>
      </x:c>
      <x:c r="G82" s="2" t="str">
        <x:v>F03</x:v>
      </x:c>
      <x:c r="H82" s="2" t="str">
        <x:v>Validation and failure-path hardening</x:v>
      </x:c>
      <x:c r="I82" s="2" t="str">
        <x:v>Recorded as implemented in the source data</x:v>
      </x:c>
      <x:c r="J82" s="2" t="str">
        <x:v>Verify the authenticity of new cards and provide recovery before completion</x:v>
      </x:c>
      <x:c r="K82" s="2" t="str">
        <x:v>The focus is validation, controlled rejection, exception classification, or fallback after failure.  Specific Action: Verify the authenticity of new cards before completion and provide recovery.  root cause Response: Database Facts Blocking Model Fiction ID from Being Completed</x:v>
      </x:c>
      <x:c r="L82" s="2" t="str">
        <x:v>The two sets of labels agree and the original decision is retained; see the original annotations for the action and its association with the root cause.</x:v>
      </x:c>
      <x:c r="M82" s="2" t="str">
        <x:v>https://github.com/NousResearch/hermes-agent/issues/20017</x:v>
      </x:c>
      <x:c r="N82" s="2" t="str">
        <x:v>F03</x:v>
      </x:c>
      <x:c r="O82" s="2" t="str">
        <x:v>Determinate from available evidence</x:v>
      </x:c>
    </x:row>
    <x:row r="83" ht="35" customHeight="1">
      <x:c r="A83" s="2" t="str">
        <x:v>P0180</x:v>
      </x:c>
      <x:c r="B83" s="2" t="str">
        <x:v>NousResearch/hermes-agent</x:v>
      </x:c>
      <x:c r="C83" s="2" t="n">
        <x:v>19896</x:v>
      </x:c>
      <x:c r="D83" s="2" t="str">
        <x:v>C19</x:v>
      </x:c>
      <x:c r="E83" s="2" t="str">
        <x:v>F03</x:v>
      </x:c>
      <x:c r="F83" s="2" t="str">
        <x:v>F03</x:v>
      </x:c>
      <x:c r="G83" s="2" t="str">
        <x:v>F03</x:v>
      </x:c>
      <x:c r="H83" s="2" t="str">
        <x:v>Validation and failure-path hardening</x:v>
      </x:c>
      <x:c r="I83" s="2" t="str">
        <x:v>Recorded as implemented in the source data</x:v>
      </x:c>
      <x:c r="J83" s="2" t="str">
        <x:v>Capture of non-key-binding registration anomalies</x:v>
      </x:c>
      <x:c r="K83" s="2" t="str">
        <x:v>The focus is validation, controlled rejection, exception classification, or fallback after failure.  Specific action: Capture of registration abnormalities that do not support key binding.  root cause response: Do not let the difference in terminal capacity cause the start of the overall crash</x:v>
      </x:c>
      <x:c r="L83" s="2" t="str">
        <x:v>The two sets of labels agree and the original decision is retained; see the original annotations for the action and its association with the root cause.</x:v>
      </x:c>
      <x:c r="M83" s="2" t="str">
        <x:v>https://github.com/NousResearch/hermes-agent/issues/19896</x:v>
      </x:c>
      <x:c r="N83" s="2" t="str">
        <x:v>F03</x:v>
      </x:c>
      <x:c r="O83" s="2" t="str">
        <x:v>Determinate from available evidence</x:v>
      </x:c>
    </x:row>
    <x:row r="84" ht="48.5" customHeight="1">
      <x:c r="A84" s="2" t="str">
        <x:v>P0179</x:v>
      </x:c>
      <x:c r="B84" s="2" t="str">
        <x:v>NousResearch/hermes-agent</x:v>
      </x:c>
      <x:c r="C84" s="2" t="n">
        <x:v>19514</x:v>
      </x:c>
      <x:c r="D84" s="2" t="str">
        <x:v>C21</x:v>
      </x:c>
      <x:c r="E84" s="2" t="str">
        <x:v>F04</x:v>
      </x:c>
      <x:c r="F84" s="2" t="str">
        <x:v>F04</x:v>
      </x:c>
      <x:c r="G84" s="2" t="str">
        <x:v>F04</x:v>
      </x:c>
      <x:c r="H84" s="2" t="str">
        <x:v>Environment and distribution adaptation</x:v>
      </x:c>
      <x:c r="I84" s="2" t="str">
        <x:v>Recorded as implemented in the source data</x:v>
      </x:c>
      <x:c r="J84" s="2" t="str">
        <x:v>Build a packed TUI resource and prioritize finding wheel inputs</x:v>
      </x:c>
      <x:c r="K84" s="2" t="str">
        <x:v>The focus is platform prerequisites, build dependencies, deployment, or installation/distribution artifacts.  Specific action: Build up TUI resources and prioritize finding wheel inputs.  root cause response: Ensuring distribution packages contain resources and start-up power are positioned to resources</x:v>
      </x:c>
      <x:c r="L84" s="2" t="str">
        <x:v>The two sets of labels agree and the original decision is retained; see the original annotations for the action and its association with the root cause.</x:v>
      </x:c>
      <x:c r="M84" s="2" t="str">
        <x:v>https://github.com/NousResearch/hermes-agent/issues/19514</x:v>
      </x:c>
      <x:c r="N84" s="2" t="str">
        <x:v>F04</x:v>
      </x:c>
      <x:c r="O84" s="2" t="str">
        <x:v>Determinate from available evidence</x:v>
      </x:c>
    </x:row>
    <x:row r="85" ht="48.5" customHeight="1">
      <x:c r="A85" s="2" t="str">
        <x:v>P0178</x:v>
      </x:c>
      <x:c r="B85" s="2" t="str">
        <x:v>NousResearch/hermes-agent</x:v>
      </x:c>
      <x:c r="C85" s="2" t="n">
        <x:v>19351</x:v>
      </x:c>
      <x:c r="D85" s="2" t="str">
        <x:v>C08</x:v>
      </x:c>
      <x:c r="E85" s="2" t="str">
        <x:v>F01</x:v>
      </x:c>
      <x:c r="F85" s="2" t="str">
        <x:v>F01</x:v>
      </x:c>
      <x:c r="G85" s="2" t="str">
        <x:v>F01</x:v>
      </x:c>
      <x:c r="H85" s="2" t="str">
        <x:v>Representation and usage-contract alignment</x:v>
      </x:c>
      <x:c r="I85" s="2" t="str">
        <x:v>Recorded as implemented in the source data</x:v>
      </x:c>
      <x:c r="J85" s="2" t="str">
        <x:v>Delete the workstation ID and keep the task protocol</x:v>
      </x:c>
      <x:c r="K85" s="2" t="str">
        <x:v>The focus is correcting content representation, field transmission, static associations, or prompt/usage contracts.  Specific action: Remove the workstation identity declaration and keep the mission protocol.  root cause Response: Avoiding the binding of SOUL roles in general execution guidelines</x:v>
      </x:c>
      <x:c r="L85" s="2" t="str">
        <x:v>The two sets of labels agree and the original decision is retained; see the original annotations for the action and its association with the root cause.</x:v>
      </x:c>
      <x:c r="M85" s="2" t="str">
        <x:v>https://github.com/NousResearch/hermes-agent/issues/19351</x:v>
      </x:c>
      <x:c r="N85" s="2" t="str">
        <x:v>F01</x:v>
      </x:c>
      <x:c r="O85" s="2" t="str">
        <x:v>Determinate from available evidence</x:v>
      </x:c>
    </x:row>
    <x:row r="86" ht="35" customHeight="1">
      <x:c r="A86" s="2" t="str">
        <x:v>P0177</x:v>
      </x:c>
      <x:c r="B86" s="2" t="str">
        <x:v>NousResearch/hermes-agent</x:v>
      </x:c>
      <x:c r="C86" s="2" t="n">
        <x:v>19040</x:v>
      </x:c>
      <x:c r="D86" s="2" t="str">
        <x:v>C05</x:v>
      </x:c>
      <x:c r="E86" s="2" t="str">
        <x:v>F03</x:v>
      </x:c>
      <x:c r="F86" s="2" t="str">
        <x:v>F01</x:v>
      </x:c>
      <x:c r="G86" s="2" t="str">
        <x:v>F01</x:v>
      </x:c>
      <x:c r="H86" s="2" t="str">
        <x:v>Representation and usage-contract alignment</x:v>
      </x:c>
      <x:c r="I86" s="2" t="str">
        <x:v>Recorded as implemented in the source data</x:v>
      </x:c>
      <x:c r="J86" s="2" t="str">
        <x:v>Obviously record Skill sources and exclude manual Skill</x:v>
      </x:c>
      <x:c r="K86" s="2" t="str">
        <x:v>Writing in created_by and identifying the source accordingly is a source-related contract calibration, excluding manual Skill consumption behaviour for that label.</x:v>
      </x:c>
      <x:c r="L86" s="2" t="str">
        <x:v>Integrating task back-checking for frozen source material: enter created_by and identify the source accordingly as a source-associated contract calibration, excluding manual Skill consumption behavior for that label.</x:v>
      </x:c>
      <x:c r="M86" s="2" t="str">
        <x:v>https://github.com/NousResearch/hermes-agent/issues/19040</x:v>
      </x:c>
      <x:c r="N86" s="2" t="str">
        <x:v>F01</x:v>
      </x:c>
      <x:c r="O86" s="2" t="str">
        <x:v>Determinate from available evidence</x:v>
      </x:c>
    </x:row>
    <x:row r="87" ht="35" customHeight="1">
      <x:c r="A87" s="2" t="str">
        <x:v>P0176</x:v>
      </x:c>
      <x:c r="B87" s="2" t="str">
        <x:v>NousResearch/hermes-agent</x:v>
      </x:c>
      <x:c r="C87" s="2" t="n">
        <x:v>19017</x:v>
      </x:c>
      <x:c r="D87" s="2" t="str">
        <x:v>C16</x:v>
      </x:c>
      <x:c r="E87" s="2" t="str">
        <x:v>F01</x:v>
      </x:c>
      <x:c r="F87" s="2" t="str">
        <x:v>F01</x:v>
      </x:c>
      <x:c r="G87" s="2" t="str">
        <x:v>F01</x:v>
      </x:c>
      <x:c r="H87" s="2" t="str">
        <x:v>Representation and usage-contract alignment</x:v>
      </x:c>
      <x:c r="I87" s="2" t="str">
        <x:v>Recorded as implemented in the source data</x:v>
      </x:c>
      <x:c r="J87" s="2" t="str">
        <x:v>profile was found by the Unified HOME Root</x:v>
      </x:c>
      <x:c r="K87" s="2" t="str">
        <x:v>Consolidated F01 as configuration, replacing the internal benchmark for hard encoding with a unified HOME analyzer; not additional OS startup capabilities.  root cause Response: Custom root deployment no longer fixed to search default user directories</x:v>
      </x:c>
      <x:c r="L87" s="2" t="str">
        <x:v>The two sets of labels agree and the original decision is retained; see the original annotations for the action and its association with the root cause.</x:v>
      </x:c>
      <x:c r="M87" s="2" t="str">
        <x:v>https://github.com/NousResearch/hermes-agent/issues/19017</x:v>
      </x:c>
      <x:c r="N87" s="2" t="str">
        <x:v>F01</x:v>
      </x:c>
      <x:c r="O87" s="2" t="str">
        <x:v>Determinate from available evidence</x:v>
      </x:c>
    </x:row>
    <x:row r="88" ht="35" customHeight="1">
      <x:c r="A88" s="2" t="str">
        <x:v>P0175</x:v>
      </x:c>
      <x:c r="B88" s="2" t="str">
        <x:v>NousResearch/hermes-agent</x:v>
      </x:c>
      <x:c r="C88" s="2" t="n">
        <x:v>18981</x:v>
      </x:c>
      <x:c r="D88" s="2" t="str">
        <x:v>C15</x:v>
      </x:c>
      <x:c r="E88" s="2" t="str">
        <x:v>F01</x:v>
      </x:c>
      <x:c r="F88" s="2" t="str">
        <x:v>F03</x:v>
      </x:c>
      <x:c r="G88" s="2" t="str">
        <x:v>F01</x:v>
      </x:c>
      <x:c r="H88" s="2" t="str">
        <x:v>Representation and usage-contract alignment</x:v>
      </x:c>
      <x:c r="I88" s="2" t="str">
        <x:v>Partial coverage</x:v>
      </x:c>
      <x:c r="J88" s="2" t="str">
        <x:v>Adding incredible separation and memory scanning to high-risk tool results</x:v>
      </x:c>
      <x:c r="K88" s="2" t="str">
        <x:v>The direct action against the unreliable boundary of tool results is to add a source separation tag; sharing scanning is accompanied by the action, and text cannot be isolated when the authorization access is blocked. </x:v>
      </x:c>
      <x:c r="L88" s="2" t="str">
        <x:v>Integrating task back to freeze source material: the direct action against tool results is to add a source separation tag; sharing scanning is an accompanying action, and text cannot be isolated when definite authorization access is blocked.</x:v>
      </x:c>
      <x:c r="M88" s="2" t="str">
        <x:v>https://github.com/NousResearch/hermes-agent/issues/18981</x:v>
      </x:c>
      <x:c r="N88" s="2" t="str">
        <x:v>F01</x:v>
      </x:c>
      <x:c r="O88" s="2" t="str">
        <x:v>Determinate from available evidence</x:v>
      </x:c>
    </x:row>
    <x:row r="89" ht="35" customHeight="1">
      <x:c r="A89" s="2" t="str">
        <x:v>P0174</x:v>
      </x:c>
      <x:c r="B89" s="2" t="str">
        <x:v>NousResearch/hermes-agent</x:v>
      </x:c>
      <x:c r="C89" s="2" t="n">
        <x:v>18907</x:v>
      </x:c>
      <x:c r="D89" s="2" t="str">
        <x:v>C16</x:v>
      </x:c>
      <x:c r="E89" s="2" t="str">
        <x:v>F01</x:v>
      </x:c>
      <x:c r="F89" s="2" t="str">
        <x:v>F01</x:v>
      </x:c>
      <x:c r="G89" s="2" t="str">
        <x:v>F01</x:v>
      </x:c>
      <x:c r="H89" s="2" t="str">
        <x:v>Representation and usage-contract alignment</x:v>
      </x:c>
      <x:c r="I89" s="2" t="str">
        <x:v>Implementation status pending verification</x:v>
      </x:c>
      <x:c r="J89" s="2" t="str">
        <x:v>Complementing Bedrock providers with authentication type identification</x:v>
      </x:c>
      <x:c r="K89" s="2" t="str">
        <x:v>Repeat target specific detections and authentication field actions are identifiable, but there is no evidence for this item, and the source abstract is written in line 0; still selected and retained by RQ3 fixed listing. </x:v>
      </x:c>
      <x:c r="L89" s="2" t="str">
        <x:v>Integrating task back-check freeze source material: Repeat target specific detection and authentication field action identifiable, but no evidence is included in this article, and the source abstract is written in line 0; still selected and retained by RQ3 fixed list. </x:v>
      </x:c>
      <x:c r="M89" s="2" t="str">
        <x:v>https://github.com/NousResearch/hermes-agent/issues/18907</x:v>
      </x:c>
      <x:c r="N89" s="2" t="str">
        <x:v>F01</x:v>
      </x:c>
      <x:c r="O89" s="2" t="str">
        <x:v>Determinate from available evidence</x:v>
      </x:c>
    </x:row>
    <x:row r="90" ht="35" customHeight="1">
      <x:c r="A90" s="2" t="str">
        <x:v>P0173</x:v>
      </x:c>
      <x:c r="B90" s="2" t="str">
        <x:v>NousResearch/hermes-agent</x:v>
      </x:c>
      <x:c r="C90" s="2" t="n">
        <x:v>18693</x:v>
      </x:c>
      <x:c r="D90" s="2" t="str">
        <x:v>C11</x:v>
      </x:c>
      <x:c r="E90" s="2" t="str">
        <x:v>F02</x:v>
      </x:c>
      <x:c r="F90" s="2" t="str">
        <x:v>F02</x:v>
      </x:c>
      <x:c r="G90" s="2" t="str">
        <x:v>F02</x:v>
      </x:c>
      <x:c r="H90" s="2" t="str">
        <x:v>Execution-flow and state correction</x:v>
      </x:c>
      <x:c r="I90" s="2" t="str">
        <x:v>Partial coverage</x:v>
      </x:c>
      <x:c r="J90" s="2" t="str">
        <x:v>Connecting Lock and Restrict Approval and Skill Pathways</x:v>
      </x:c>
      <x:c r="K90" s="2" t="str">
        <x:v>Combine root cause for the above connection requirements, with the corresponding lock and retry as the main action; approval protection and path refusal for the other two recorded moves, not deleted by single label.</x:v>
      </x:c>
      <x:c r="L90" s="2" t="str">
        <x:v>Integration task back-check freeze source material: Complex root cause previous connection requirements, matching locks with retry as the main action; Approval protection and path refusal for two other recorded actions, not deleted by single label.</x:v>
      </x:c>
      <x:c r="M90" s="2" t="str">
        <x:v>https://github.com/NousResearch/hermes-agent/issues/18693</x:v>
      </x:c>
      <x:c r="N90" s="2" t="str">
        <x:v>F02</x:v>
      </x:c>
      <x:c r="O90" s="2" t="str">
        <x:v>Determinate from available evidence</x:v>
      </x:c>
    </x:row>
    <x:row r="91" ht="35" customHeight="1">
      <x:c r="A91" s="2" t="str">
        <x:v>P0172</x:v>
      </x:c>
      <x:c r="B91" s="2" t="str">
        <x:v>NousResearch/hermes-agent</x:v>
      </x:c>
      <x:c r="C91" s="2" t="n">
        <x:v>17942</x:v>
      </x:c>
      <x:c r="D91" s="2" t="str">
        <x:v>C09</x:v>
      </x:c>
      <x:c r="E91" s="2" t="str">
        <x:v>F02</x:v>
      </x:c>
      <x:c r="F91" s="2" t="str">
        <x:v>F02</x:v>
      </x:c>
      <x:c r="G91" s="2" t="str">
        <x:v>F02</x:v>
      </x:c>
      <x:c r="H91" s="2" t="str">
        <x:v>Execution-flow and state correction</x:v>
      </x:c>
      <x:c r="I91" s="2" t="str">
        <x:v>Recorded as implemented in the source data</x:v>
      </x:c>
      <x:c r="J91" s="2" t="str">
        <x:v>Returns search nested in Skill</x:v>
      </x:c>
      <x:c r="K91" s="2" t="str">
        <x:v>The focus is state selection, execution progression, scope, or lifecycle management in the normal path.  Specific action: Returning to Skill search nested archives.  root cause Response: Let the recovery process find Skill in the subcategory directory</x:v>
      </x:c>
      <x:c r="L91" s="2" t="str">
        <x:v>The two sets of labels agree and the original decision is retained; see the original annotations for the action and its association with the root cause.</x:v>
      </x:c>
      <x:c r="M91" s="2" t="str">
        <x:v>https://github.com/NousResearch/hermes-agent/issues/17942</x:v>
      </x:c>
      <x:c r="N91" s="2" t="str">
        <x:v>F02</x:v>
      </x:c>
      <x:c r="O91" s="2" t="str">
        <x:v>Determinate from available evidence</x:v>
      </x:c>
    </x:row>
    <x:row r="92" ht="48.5" customHeight="1">
      <x:c r="A92" s="2" t="str">
        <x:v>P0171</x:v>
      </x:c>
      <x:c r="B92" s="2" t="str">
        <x:v>NousResearch/hermes-agent</x:v>
      </x:c>
      <x:c r="C92" s="2" t="n">
        <x:v>17666</x:v>
      </x:c>
      <x:c r="D92" s="2" t="str">
        <x:v>C12</x:v>
      </x:c>
      <x:c r="E92" s="2" t="str">
        <x:v>F03</x:v>
      </x:c>
      <x:c r="F92" s="2" t="str">
        <x:v>F03</x:v>
      </x:c>
      <x:c r="G92" s="2" t="str">
        <x:v>F03</x:v>
      </x:c>
      <x:c r="H92" s="2" t="str">
        <x:v>Validation and failure-path hardening</x:v>
      </x:c>
      <x:c r="I92" s="2" t="str">
        <x:v>Partial coverage</x:v>
      </x:c>
      <x:c r="J92" s="2" t="str">
        <x:v>Protect race condition stickers and feed back abnormalities through logs</x:v>
      </x:c>
      <x:c r="K92" s="2" t="str">
        <x:v>The focus is validation, controlled rejection, exception classification, or fallback after failure.  Specific Action: Protect race condition stickers and log feedback on abnormalities.  root cause response: Capture missing and OSError files to avoid unusual input processing being hidden</x:v>
      </x:c>
      <x:c r="L92" s="2" t="str">
        <x:v>The two sets of labels agree and the original decision is retained; see the original annotations for the action and its association with the root cause.</x:v>
      </x:c>
      <x:c r="M92" s="2" t="str">
        <x:v>https://github.com/NousResearch/hermes-agent/issues/17666</x:v>
      </x:c>
      <x:c r="N92" s="2" t="str">
        <x:v>F03</x:v>
      </x:c>
      <x:c r="O92" s="2" t="str">
        <x:v>Determinate from available evidence</x:v>
      </x:c>
    </x:row>
    <x:row r="93" ht="35" customHeight="1">
      <x:c r="A93" s="2" t="str">
        <x:v>P0169</x:v>
      </x:c>
      <x:c r="B93" s="2" t="str">
        <x:v>NousResearch/hermes-agent</x:v>
      </x:c>
      <x:c r="C93" s="2" t="n">
        <x:v>16176</x:v>
      </x:c>
      <x:c r="D93" s="2" t="str">
        <x:v>C21</x:v>
      </x:c>
      <x:c r="E93" s="2" t="str">
        <x:v>F04</x:v>
      </x:c>
      <x:c r="F93" s="2" t="str">
        <x:v>F04</x:v>
      </x:c>
      <x:c r="G93" s="2" t="str">
        <x:v>F04</x:v>
      </x:c>
      <x:c r="H93" s="2" t="str">
        <x:v>Environment and distribution adaptation</x:v>
      </x:c>
      <x:c r="I93" s="2" t="str">
        <x:v>Recorded as implemented in the source data</x:v>
      </x:c>
      <x:c r="J93" s="2" t="str">
        <x:v>Synchronized update containing current activity profile</x:v>
      </x:c>
      <x:c r="K93" s="2" t="str">
        <x:v>The modified object is the synchronous coverage range of each profile with the packet Skill and belongs to the distributed entity F04. root cause response: Remove the omission and ensure that activity profile does not remain in the old Skill</x:v>
      </x:c>
      <x:c r="L93" s="2" t="str">
        <x:v>The two sets of labels agree and the original decision is retained; see the original annotations for the action and its association with the root cause.</x:v>
      </x:c>
      <x:c r="M93" s="2" t="str">
        <x:v>https://github.com/NousResearch/hermes-agent/issues/16176</x:v>
      </x:c>
      <x:c r="N93" s="2" t="str">
        <x:v>F04</x:v>
      </x:c>
      <x:c r="O93" s="2" t="str">
        <x:v>Determinate from available evidence</x:v>
      </x:c>
    </x:row>
    <x:row r="94" ht="48.5" customHeight="1">
      <x:c r="A94" s="2" t="str">
        <x:v>P0168</x:v>
      </x:c>
      <x:c r="B94" s="2" t="str">
        <x:v>NousResearch/hermes-agent</x:v>
      </x:c>
      <x:c r="C94" s="2" t="n">
        <x:v>16123</x:v>
      </x:c>
      <x:c r="D94" s="2" t="str">
        <x:v>C03</x:v>
      </x:c>
      <x:c r="E94" s="2" t="str">
        <x:v>F01</x:v>
      </x:c>
      <x:c r="F94" s="2" t="str">
        <x:v>F01</x:v>
      </x:c>
      <x:c r="G94" s="2" t="str">
        <x:v>F01</x:v>
      </x:c>
      <x:c r="H94" s="2" t="str">
        <x:v>Representation and usage-contract alignment</x:v>
      </x:c>
      <x:c r="I94" s="2" t="str">
        <x:v>Recorded as implemented in the source data</x:v>
      </x:c>
      <x:c r="J94" s="2" t="str">
        <x:v>Background review of inheritance of parent session real-time authentication parameters</x:v>
      </x:c>
      <x:c r="K94" s="2" t="str">
        <x:v>The focus is correcting content representation, field transmission, static associations, or prompt/usage contracts.  Specific action: Background review of legacy of parent session real-time authentication parameters.  root cause response: pass key address API mode and credential pool to fork instead of re-analysing</x:v>
      </x:c>
      <x:c r="L94" s="2" t="str">
        <x:v>The two sets of labels agree and the original decision is retained; see the original annotations for the action and its association with the root cause.</x:v>
      </x:c>
      <x:c r="M94" s="2" t="str">
        <x:v>https://github.com/NousResearch/hermes-agent/issues/16123</x:v>
      </x:c>
      <x:c r="N94" s="2" t="str">
        <x:v>F01</x:v>
      </x:c>
      <x:c r="O94" s="2" t="str">
        <x:v>Determinate from available evidence</x:v>
      </x:c>
    </x:row>
    <x:row r="95" ht="48.5" customHeight="1">
      <x:c r="A95" s="2" t="str">
        <x:v>P0167</x:v>
      </x:c>
      <x:c r="B95" s="2" t="str">
        <x:v>NousResearch/hermes-agent</x:v>
      </x:c>
      <x:c r="C95" s="2" t="n">
        <x:v>15543</x:v>
      </x:c>
      <x:c r="D95" s="2" t="str">
        <x:v>C03</x:v>
      </x:c>
      <x:c r="E95" s="2" t="str">
        <x:v>F01</x:v>
      </x:c>
      <x:c r="F95" s="2" t="str">
        <x:v>F01</x:v>
      </x:c>
      <x:c r="G95" s="2" t="str">
        <x:v>F01</x:v>
      </x:c>
      <x:c r="H95" s="2" t="str">
        <x:v>Representation and usage-contract alignment</x:v>
      </x:c>
      <x:c r="I95" s="2" t="str">
        <x:v>Candidate change not merged</x:v>
      </x:c>
      <x:c r="J95" s="2" t="str">
        <x:v>Transferring authentication parameters to a censored proxy constructor</x:v>
      </x:c>
      <x:c r="K95" s="2" t="str">
        <x:v>The focus is correcting content representation, field transmission, static associations, or prompt/usage contracts.  Specific action: Transferring authentication parameters to the review agent constructor.    root cause Corresponding: Completion only provider  And missing api_key/base_url/api_mode</x:v>
      </x:c>
      <x:c r="L95" s="2" t="str">
        <x:v>The two sets of labels agree and the original decision is retained; see the original annotations for the action and its association with the root cause.</x:v>
      </x:c>
      <x:c r="M95" s="2" t="str">
        <x:v>https://github.com/NousResearch/hermes-agent/issues/15543</x:v>
      </x:c>
      <x:c r="N95" s="2" t="str">
        <x:v>F01</x:v>
      </x:c>
      <x:c r="O95" s="2" t="str">
        <x:v>Determinate from available evidence</x:v>
      </x:c>
    </x:row>
    <x:row r="96" ht="35" customHeight="1">
      <x:c r="A96" s="2" t="str">
        <x:v>P0165</x:v>
      </x:c>
      <x:c r="B96" s="2" t="str">
        <x:v>NousResearch/hermes-agent</x:v>
      </x:c>
      <x:c r="C96" s="2" t="n">
        <x:v>15218</x:v>
      </x:c>
      <x:c r="D96" s="2" t="str">
        <x:v>C24</x:v>
      </x:c>
      <x:c r="E96" s="2" t="str">
        <x:v>F02</x:v>
      </x:c>
      <x:c r="F96" s="2" t="str">
        <x:v>F03</x:v>
      </x:c>
      <x:c r="G96" s="2" t="str">
        <x:v>F02</x:v>
      </x:c>
      <x:c r="H96" s="2" t="str">
        <x:v>Execution-flow and state correction</x:v>
      </x:c>
      <x:c r="I96" s="2" t="str">
        <x:v>Recorded as implemented in the source data</x:v>
      </x:c>
      <x:c r="J96" s="2" t="str">
        <x:v>Interrupting the cycle of skipping external memory synchronization</x:v>
      </x:c>
      <x:c r="K96" s="2" t="str">
        <x:v>Interrupting rotation does not enter external memory synchronization, correcting the end of normal operation with persistent forward conditions.</x:v>
      </x:c>
      <x:c r="L96" s="2" t="str">
        <x:v>Integrating task back-check freeze source material: interruption rounds do not enter external memory sync, correcting normal running endings with persistent forwarding conditions.</x:v>
      </x:c>
      <x:c r="M96" s="2" t="str">
        <x:v>https://github.com/NousResearch/hermes-agent/issues/15218</x:v>
      </x:c>
      <x:c r="N96" s="2" t="str">
        <x:v>F02</x:v>
      </x:c>
      <x:c r="O96" s="2" t="str">
        <x:v>Determinate from available evidence</x:v>
      </x:c>
    </x:row>
    <x:row r="97" ht="48.5" customHeight="1">
      <x:c r="A97" s="2" t="str">
        <x:v>P0162</x:v>
      </x:c>
      <x:c r="B97" s="2" t="str">
        <x:v>NousResearch/hermes-agent</x:v>
      </x:c>
      <x:c r="C97" s="2" t="n">
        <x:v>13031</x:v>
      </x:c>
      <x:c r="D97" s="2" t="str">
        <x:v>C04</x:v>
      </x:c>
      <x:c r="E97" s="2" t="str">
        <x:v>F01</x:v>
      </x:c>
      <x:c r="F97" s="2" t="str">
        <x:v>U1</x:v>
      </x:c>
      <x:c r="G97" s="2" t="str">
        <x:v>F01</x:v>
      </x:c>
      <x:c r="H97" s="2" t="str">
        <x:v>Representation and usage-contract alignment</x:v>
      </x:c>
      <x:c r="I97" s="2" t="str">
        <x:v>Candidate change not merged</x:v>
      </x:c>
      <x:c r="J97" s="2" t="str">
        <x:v>Recommended action: Recommended to incorporate DashScope compatibility endpoints into Qwen adaptations and output actual tool invocation structures.</x:v>
      </x:c>
      <x:c r="K97" s="2" t="str">
        <x:v>The candidates are just for repair Qwen tool invocation The specific mechanisms need to be established root cause Presumption Compatible peer recognition and message format alignment.  This is an additional closest-fit assignment, not an established repair fact.</x:v>
      </x:c>
      <x:c r="L97" s="2" t="str">
        <x:v>One closest-fit strategy is selected as additionally requested.  The candidates are just for repair Qwen tool invocation The specific mechanisms need to be established root cause Presumption Compatible peer recognition and message format alignment.  This is an additional closest-fit assignment, not an established repair fact.  The original evidence review is U1; this does not establish that a targeted repair has been verified.</x:v>
      </x:c>
      <x:c r="M97" s="2" t="str">
        <x:v>https://github.com/NousResearch/hermes-agent/issues/13031</x:v>
      </x:c>
      <x:c r="N97" s="2" t="str">
        <x:v>U1</x:v>
      </x:c>
      <x:c r="O97" s="2" t="str">
        <x:v>Inferred from the primary root cause</x:v>
      </x:c>
    </x:row>
    <x:row r="98" ht="48.5" customHeight="1">
      <x:c r="A98" s="2" t="str">
        <x:v>P0159</x:v>
      </x:c>
      <x:c r="B98" s="2" t="str">
        <x:v>NousResearch/hermes-agent</x:v>
      </x:c>
      <x:c r="C98" s="2" t="n">
        <x:v>12643</x:v>
      </x:c>
      <x:c r="D98" s="2" t="str">
        <x:v>C04</x:v>
      </x:c>
      <x:c r="E98" s="2" t="str">
        <x:v>U1</x:v>
      </x:c>
      <x:c r="F98" s="2" t="str">
        <x:v>U1</x:v>
      </x:c>
      <x:c r="G98" s="2" t="str">
        <x:v>F01</x:v>
      </x:c>
      <x:c r="H98" s="2" t="str">
        <x:v>Representation and usage-contract alignment</x:v>
      </x:c>
      <x:c r="I98" s="2" t="str">
        <x:v>Insufficient association evidence</x:v>
      </x:c>
      <x:c r="J98" s="2" t="str">
        <x:v>Suggested action (presumption): Recommendations for verification custom provider tool Declarations, invocation The result is a contract with the terminal execution interface.</x:v>
      </x:c>
      <x:c r="K98" s="2" t="str">
        <x:v>Terminal tool Title does not indicate repair, old custom provider and tool The combination is unpositioned; only low confidence Both recommendations invocation Compact alignment.  This is an additional closest-fit assignment, not an established repair fact.</x:v>
      </x:c>
      <x:c r="L98" s="2" t="str">
        <x:v>One closest-fit strategy is selected as additionally requested.  Terminal tool Title does not indicate repair, old custom provider and tool The combination is unpositioned; only low confidence Both recommendations invocation Compact alignment.  This is an additional closest-fit assignment, not an established repair fact.  The original evidence review is U1; this does not establish that a targeted repair has been verified.</x:v>
      </x:c>
      <x:c r="M98" s="2" t="str">
        <x:v>https://github.com/NousResearch/hermes-agent/issues/12643</x:v>
      </x:c>
      <x:c r="N98" s="2" t="str">
        <x:v>U1</x:v>
      </x:c>
      <x:c r="O98" s="2" t="str">
        <x:v>Inferred from the primary root cause</x:v>
      </x:c>
    </x:row>
    <x:row r="99" ht="48.5" customHeight="1">
      <x:c r="A99" s="2" t="str">
        <x:v>P0154</x:v>
      </x:c>
      <x:c r="B99" s="2" t="str">
        <x:v>NousResearch/hermes-agent</x:v>
      </x:c>
      <x:c r="C99" s="2" t="n">
        <x:v>10896</x:v>
      </x:c>
      <x:c r="D99" s="2" t="str">
        <x:v>C08</x:v>
      </x:c>
      <x:c r="E99" s="2" t="str">
        <x:v>F02</x:v>
      </x:c>
      <x:c r="F99" s="2" t="str">
        <x:v>F02</x:v>
      </x:c>
      <x:c r="G99" s="2" t="str">
        <x:v>F02</x:v>
      </x:c>
      <x:c r="H99" s="2" t="str">
        <x:v>Execution-flow and state correction</x:v>
      </x:c>
      <x:c r="I99" s="2" t="str">
        <x:v>Recorded as implemented in the source data</x:v>
      </x:c>
      <x:c r="J99" s="2" t="str">
        <x:v>Keeping end-user messages in uncompressed tail</x:v>
      </x:c>
      <x:c r="K99" s="2" t="str">
        <x:v>The focus is state selection, execution progression, scope, or lifecycle management in the normal path.  Specific action: Keeping end-user messages in the uncompressed tail.  root cause Response: Blocking current mission instructions from being swallowed by Border fallback</x:v>
      </x:c>
      <x:c r="L99" s="2" t="str">
        <x:v>The two sets of labels agree and the original decision is retained; see the original annotations for the action and its association with the root cause.</x:v>
      </x:c>
      <x:c r="M99" s="2" t="str">
        <x:v>https://github.com/NousResearch/hermes-agent/issues/10896</x:v>
      </x:c>
      <x:c r="N99" s="2" t="str">
        <x:v>F02</x:v>
      </x:c>
      <x:c r="O99" s="2" t="str">
        <x:v>Determinate from available evidence</x:v>
      </x:c>
    </x:row>
    <x:row r="100" ht="48.5" customHeight="1">
      <x:c r="A100" s="2" t="str">
        <x:v>P0153</x:v>
      </x:c>
      <x:c r="B100" s="2" t="str">
        <x:v>NousResearch/hermes-agent</x:v>
      </x:c>
      <x:c r="C100" s="2" t="n">
        <x:v>9949</x:v>
      </x:c>
      <x:c r="D100" s="2" t="str">
        <x:v>C18</x:v>
      </x:c>
      <x:c r="E100" s="2" t="str">
        <x:v>F01</x:v>
      </x:c>
      <x:c r="F100" s="2" t="str">
        <x:v>F01</x:v>
      </x:c>
      <x:c r="G100" s="2" t="str">
        <x:v>F01</x:v>
      </x:c>
      <x:c r="H100" s="2" t="str">
        <x:v>Representation and usage-contract alignment</x:v>
      </x:c>
      <x:c r="I100" s="2" t="str">
        <x:v>Recorded as implemented in the source data</x:v>
      </x:c>
      <x:c r="J100" s="2" t="str">
        <x:v>Relative external Skill directories are analyzed by HOME as benchmarks</x:v>
      </x:c>
      <x:c r="K100" s="2" t="str">
        <x:v>The focus is correcting content representation, field transmission, static associations, or prompt/usage contracts.  Specific action: Relative external Skill directories are analyzed as HOME benchmarks.  root cause response: consistent configuration under different cwd starts</x:v>
      </x:c>
      <x:c r="L100" s="2" t="str">
        <x:v>The two sets of labels agree and the original decision is retained; see the original annotations for the action and its association with the root cause.</x:v>
      </x:c>
      <x:c r="M100" s="2" t="str">
        <x:v>https://github.com/NousResearch/hermes-agent/issues/9949</x:v>
      </x:c>
      <x:c r="N100" s="2" t="str">
        <x:v>F01</x:v>
      </x:c>
      <x:c r="O100" s="2" t="str">
        <x:v>Determinate from available evidence</x:v>
      </x:c>
    </x:row>
    <x:row r="101" ht="48.5" customHeight="1">
      <x:c r="A101" s="2" t="str">
        <x:v>P0146</x:v>
      </x:c>
      <x:c r="B101" s="2" t="str">
        <x:v>NousResearch/hermes-agent</x:v>
      </x:c>
      <x:c r="C101" s="2" t="n">
        <x:v>5209</x:v>
      </x:c>
      <x:c r="D101" s="2" t="str">
        <x:v>C10</x:v>
      </x:c>
      <x:c r="E101" s="2" t="str">
        <x:v>U1</x:v>
      </x:c>
      <x:c r="F101" s="2" t="str">
        <x:v>U1</x:v>
      </x:c>
      <x:c r="G101" s="2" t="str">
        <x:v>F02</x:v>
      </x:c>
      <x:c r="H101" s="2" t="str">
        <x:v>Execution-flow and state correction</x:v>
      </x:c>
      <x:c r="I101" s="2" t="str">
        <x:v>Insufficient association evidence</x:v>
      </x:c>
      <x:c r="J101" s="2" t="str">
        <x:v>Suggested action (presumption): Recommendation verification scheduled task context Select and continue for only reflection or empty final messages.</x:v>
      </x:c>
      <x:c r="K101" s="2" t="str">
        <x:v>Can not get folder: %s: %s scheduled task context File, closest to execution context selection; it does not prove to be empty response, and test changes only.  This is an additional closest-fit assignment, not an established repair fact.</x:v>
      </x:c>
      <x:c r="L101" s="2" t="str">
        <x:v>One closest-fit strategy is selected as additionally requested.  Can not get folder: %s: %s scheduled task context File, closest to execution context selection; it does not prove to be empty response, and test changes only.  This is an additional closest-fit assignment, not an established repair fact.  The original evidence review is U1; this does not establish that a targeted repair has been verified.</x:v>
      </x:c>
      <x:c r="M101" s="2" t="str">
        <x:v>https://github.com/NousResearch/hermes-agent/issues/5209</x:v>
      </x:c>
      <x:c r="N101" s="2" t="str">
        <x:v>U1</x:v>
      </x:c>
      <x:c r="O101" s="2" t="str">
        <x:v>Closest fit to the intent described in the summary</x:v>
      </x:c>
    </x:row>
    <x:row r="102" ht="35" customHeight="1">
      <x:c r="A102" s="2" t="str">
        <x:v>P0145</x:v>
      </x:c>
      <x:c r="B102" s="2" t="str">
        <x:v>NousResearch/hermes-agent</x:v>
      </x:c>
      <x:c r="C102" s="2" t="n">
        <x:v>4889</x:v>
      </x:c>
      <x:c r="D102" s="2" t="str">
        <x:v>C08</x:v>
      </x:c>
      <x:c r="E102" s="2" t="str">
        <x:v>F01</x:v>
      </x:c>
      <x:c r="F102" s="2" t="str">
        <x:v>F02</x:v>
      </x:c>
      <x:c r="G102" s="2" t="str">
        <x:v>F02</x:v>
      </x:c>
      <x:c r="H102" s="2" t="str">
        <x:v>Execution-flow and state correction</x:v>
      </x:c>
      <x:c r="I102" s="2" t="str">
        <x:v>Candidate change not merged</x:v>
      </x:c>
      <x:c r="J102" s="2" t="str">
        <x:v>Clean user messages for memory synchronization and pre-input</x:v>
      </x:c>
      <x:c r="K102" s="2" t="str">
        <x:v>The context option is to replace the injected whole text with persist_user_message-compliant clean user messages. </x:v>
      </x:c>
      <x:c r="L102" s="2" t="str">
        <x:v>Integrating task back-checking frozen source material: Injected whole text with persist_user_message-responsive clean user messages instead of context selection.</x:v>
      </x:c>
      <x:c r="M102" s="2" t="str">
        <x:v>https://github.com/NousResearch/hermes-agent/issues/4889</x:v>
      </x:c>
      <x:c r="N102" s="2" t="str">
        <x:v>F02</x:v>
      </x:c>
      <x:c r="O102" s="2" t="str">
        <x:v>Determinate from available evidence</x:v>
      </x:c>
    </x:row>
    <x:row r="103" ht="48.5" customHeight="1">
      <x:c r="A103" s="2" t="str">
        <x:v>P0144</x:v>
      </x:c>
      <x:c r="B103" s="2" t="str">
        <x:v>NousResearch/hermes-agent</x:v>
      </x:c>
      <x:c r="C103" s="2" t="n">
        <x:v>4759</x:v>
      </x:c>
      <x:c r="D103" s="2" t="str">
        <x:v>C09</x:v>
      </x:c>
      <x:c r="E103" s="2" t="str">
        <x:v>F02</x:v>
      </x:c>
      <x:c r="F103" s="2" t="str">
        <x:v>F02</x:v>
      </x:c>
      <x:c r="G103" s="2" t="str">
        <x:v>F02</x:v>
      </x:c>
      <x:c r="H103" s="2" t="str">
        <x:v>Execution-flow and state correction</x:v>
      </x:c>
      <x:c r="I103" s="2" t="str">
        <x:v>Recorded as implemented in the source data</x:v>
      </x:c>
      <x:c r="J103" s="2" t="str">
        <x:v>Skill manages to find the external directory that covers and modify the original location</x:v>
      </x:c>
      <x:c r="K103" s="2" t="str">
        <x:v>The focus is state selection, execution progression, scope, or lifecycle management in the normal path.  Specific action: Skill management finds the external directory that covers and changes the original location.    root cause Reciprocal: Recovering only local roots leads to external Skill Unedited Discovery Range</x:v>
      </x:c>
      <x:c r="L103" s="2" t="str">
        <x:v>The two sets of labels agree and the original decision is retained; see the original annotations for the action and its association with the root cause.</x:v>
      </x:c>
      <x:c r="M103" s="2" t="str">
        <x:v>https://github.com/NousResearch/hermes-agent/issues/4759</x:v>
      </x:c>
      <x:c r="N103" s="2" t="str">
        <x:v>F02</x:v>
      </x:c>
      <x:c r="O103" s="2" t="str">
        <x:v>Determinate from available evidence</x:v>
      </x:c>
    </x:row>
    <x:row r="104" ht="48.5" customHeight="1">
      <x:c r="A104" s="2" t="str">
        <x:v>P0143</x:v>
      </x:c>
      <x:c r="B104" s="2" t="str">
        <x:v>NousResearch/hermes-agent</x:v>
      </x:c>
      <x:c r="C104" s="2" t="n">
        <x:v>4718</x:v>
      </x:c>
      <x:c r="D104" s="2" t="str">
        <x:v>C15</x:v>
      </x:c>
      <x:c r="E104" s="2" t="str">
        <x:v>F02</x:v>
      </x:c>
      <x:c r="F104" s="2" t="str">
        <x:v>F03</x:v>
      </x:c>
      <x:c r="G104" s="2" t="str">
        <x:v>F02</x:v>
      </x:c>
      <x:c r="H104" s="2" t="str">
        <x:v>Execution-flow and state correction</x:v>
      </x:c>
      <x:c r="I104" s="2" t="str">
        <x:v>Recorded as implemented in the source data</x:v>
      </x:c>
      <x:c r="J104" s="2" t="str">
        <x:v>Recommended Action: Recommended to save profile tokens separately and avoid narrower scope silent coverage that is already capable.</x:v>
      </x:c>
      <x:c r="K104" s="2" t="str">
        <x:v>Abstract The goal is to protect profile domain tokens, where the root cause is a heavy authentication covering an existing broad scope state, closest to the token domain preserving consistency. This is an additional closest-fit assignment, not an established repair fact.</x:v>
      </x:c>
      <x:c r="L104" s="2" t="str">
        <x:v>One closest-fit strategy is selected as additionally requested.  Abstract The goal is to protect profile domain tokens, where the root cause is a heavy authentication covering an existing broad scope state, closest to the token domain preserving consistency. This is an additional closest-fit assignment, not an established repair fact.  The original evidence review is U1; this does not establish that a targeted repair has been verified.</x:v>
      </x:c>
      <x:c r="M104" s="2" t="str">
        <x:v>https://github.com/NousResearch/hermes-agent/issues/4718</x:v>
      </x:c>
      <x:c r="N104" s="2" t="str">
        <x:v>U1</x:v>
      </x:c>
      <x:c r="O104" s="2" t="str">
        <x:v>Closest fit to the intent described in the summary</x:v>
      </x:c>
    </x:row>
    <x:row r="105" ht="48.5" customHeight="1">
      <x:c r="A105" s="2" t="str">
        <x:v>P0140</x:v>
      </x:c>
      <x:c r="B105" s="2" t="str">
        <x:v>NousResearch/hermes-agent</x:v>
      </x:c>
      <x:c r="C105" s="2" t="n">
        <x:v>4427</x:v>
      </x:c>
      <x:c r="D105" s="2" t="str">
        <x:v>C15</x:v>
      </x:c>
      <x:c r="E105" s="2" t="str">
        <x:v>F03</x:v>
      </x:c>
      <x:c r="F105" s="2" t="str">
        <x:v>F03</x:v>
      </x:c>
      <x:c r="G105" s="2" t="str">
        <x:v>F03</x:v>
      </x:c>
      <x:c r="H105" s="2" t="str">
        <x:v>Validation and failure-path hardening</x:v>
      </x:c>
      <x:c r="I105" s="2" t="str">
        <x:v>Candidate change not merged</x:v>
      </x:c>
      <x:c r="J105" s="2" t="str">
        <x:v>Consolidated processes read the boundaries of parent processes environment</x:v>
      </x:c>
      <x:c r="K105" s="2" t="str">
        <x:v>The focus is validation, controlled rejection, exception classification, or fallback after failure.  Concrete action: Strengthen the child process to read the boundaries of the parent process environment.  root cause response: Candidate blocking through/proc/environ restoration of the sidelines from the disengaged key</x:v>
      </x:c>
      <x:c r="L105" s="2" t="str">
        <x:v>The two sets of labels agree and the original decision is retained; see the original annotations for the action and its association with the root cause.</x:v>
      </x:c>
      <x:c r="M105" s="2" t="str">
        <x:v>https://github.com/NousResearch/hermes-agent/issues/4427</x:v>
      </x:c>
      <x:c r="N105" s="2" t="str">
        <x:v>F03</x:v>
      </x:c>
      <x:c r="O105" s="2" t="str">
        <x:v>Determinate from available evidence</x:v>
      </x:c>
    </x:row>
    <x:row r="106" ht="35" customHeight="1">
      <x:c r="A106" s="2" t="str">
        <x:v>P0136</x:v>
      </x:c>
      <x:c r="B106" s="2" t="str">
        <x:v>NousResearch/hermes-agent</x:v>
      </x:c>
      <x:c r="C106" s="2" t="n">
        <x:v>3433</x:v>
      </x:c>
      <x:c r="D106" s="2" t="str">
        <x:v>C16</x:v>
      </x:c>
      <x:c r="E106" s="2" t="str">
        <x:v>F04</x:v>
      </x:c>
      <x:c r="F106" s="2" t="str">
        <x:v>F03</x:v>
      </x:c>
      <x:c r="G106" s="2" t="str">
        <x:v>F03</x:v>
      </x:c>
      <x:c r="H106" s="2" t="str">
        <x:v>Validation and failure-path hardening</x:v>
      </x:c>
      <x:c r="I106" s="2" t="str">
        <x:v>Recorded as implemented in the source data</x:v>
      </x:c>
      <x:c r="J106" s="2" t="str">
        <x:v>Remote readiness inspection acknowledges environment variable has been sustained</x:v>
      </x:c>
      <x:c r="K106" s="2" t="str">
        <x:v>Preparatory inspection requires identification of existing essential environment variable, the main action being to correct missing determination rather than deployment depending on installation. </x:v>
      </x:c>
      <x:c r="L106" s="2" t="str">
        <x:v>Integrating task back-checking for frozen source materials: Ready inspection requires identification of existing required environment variable, the main action is to correct missing determination, not deployment installation dependence.</x:v>
      </x:c>
      <x:c r="M106" s="2" t="str">
        <x:v>https://github.com/NousResearch/hermes-agent/issues/3433</x:v>
      </x:c>
      <x:c r="N106" s="2" t="str">
        <x:v>F03</x:v>
      </x:c>
      <x:c r="O106" s="2" t="str">
        <x:v>Determinate from available evidence</x:v>
      </x:c>
    </x:row>
    <x:row r="107" ht="48.5" customHeight="1">
      <x:c r="A107" s="2" t="str">
        <x:v>P0131</x:v>
      </x:c>
      <x:c r="B107" s="2" t="str">
        <x:v>NousResearch/hermes-agent</x:v>
      </x:c>
      <x:c r="C107" s="2" t="n">
        <x:v>631</x:v>
      </x:c>
      <x:c r="D107" s="2" t="str">
        <x:v>C09</x:v>
      </x:c>
      <x:c r="E107" s="2" t="str">
        <x:v>F02</x:v>
      </x:c>
      <x:c r="F107" s="2" t="str">
        <x:v>F02</x:v>
      </x:c>
      <x:c r="G107" s="2" t="str">
        <x:v>F02</x:v>
      </x:c>
      <x:c r="H107" s="2" t="str">
        <x:v>Execution-flow and state correction</x:v>
      </x:c>
      <x:c r="I107" s="2" t="str">
        <x:v>Candidate change not merged</x:v>
      </x:c>
      <x:c r="J107" s="2" t="str">
        <x:v>Unified Order Registry and Automatically Filled Source</x:v>
      </x:c>
      <x:c r="K107" s="2" t="str">
        <x:v>The focus is state selection, execution progression, scope, or lifecycle management in the normal path.  Concrete action: Unified Order Registry with full source automatically.  root cause response: Remove the over-definition of coverage to make full use of the same complete dictionary</x:v>
      </x:c>
      <x:c r="L107" s="2" t="str">
        <x:v>The two sets of labels agree and the original decision is retained; see the original annotations for the action and its association with the root cause.</x:v>
      </x:c>
      <x:c r="M107" s="2" t="str">
        <x:v>https://github.com/NousResearch/hermes-agent/issues/631</x:v>
      </x:c>
      <x:c r="N107" s="2" t="str">
        <x:v>F02</x:v>
      </x:c>
      <x:c r="O107" s="2" t="str">
        <x:v>Determinate from available evidence</x:v>
      </x:c>
    </x:row>
    <x:row r="108" ht="48.5" customHeight="1">
      <x:c r="A108" s="2" t="str">
        <x:v>P0001</x:v>
      </x:c>
      <x:c r="B108" s="2" t="str">
        <x:v>openclaw/openclaw</x:v>
      </x:c>
      <x:c r="C108" s="2" t="n">
        <x:v>1269</x:v>
      </x:c>
      <x:c r="D108" s="2" t="str">
        <x:v>C01</x:v>
      </x:c>
      <x:c r="E108" s="2" t="str">
        <x:v>F01</x:v>
      </x:c>
      <x:c r="F108" s="2" t="str">
        <x:v>F01</x:v>
      </x:c>
      <x:c r="G108" s="2" t="str">
        <x:v>F01</x:v>
      </x:c>
      <x:c r="H108" s="2" t="str">
        <x:v>Representation and usage-contract alignment</x:v>
      </x:c>
      <x:c r="I108" s="2" t="str">
        <x:v>Recorded as implemented in the source data</x:v>
      </x:c>
      <x:c r="J108" s="2" t="str">
        <x:v>The historical response is unified invocation tool Mark cleaner</x:v>
      </x:c>
      <x:c r="K108" s="2" t="str">
        <x:v>The focus is correcting content representation, field transmission, static associations, or prompt/usage contracts.  Specific actions: unity of historical responses invocation tool Mark cleaner.  root cause response: Historical reading paths and real-time display using consistent stripping rules to prevent internal marker leakage</x:v>
      </x:c>
      <x:c r="L108" s="2" t="str">
        <x:v>The two sets of labels agree and the original decision is retained; see the original annotations for the action and its association with the root cause.</x:v>
      </x:c>
      <x:c r="M108" s="2" t="str">
        <x:v>https://github.com/openclaw/openclaw/issues/1269</x:v>
      </x:c>
      <x:c r="N108" s="2" t="str">
        <x:v>F01</x:v>
      </x:c>
      <x:c r="O108" s="2" t="str">
        <x:v>Determinate from available evidence</x:v>
      </x:c>
    </x:row>
    <x:row r="109" ht="48.5" customHeight="1">
      <x:c r="A109" s="2" t="str">
        <x:v>P0009</x:v>
      </x:c>
      <x:c r="B109" s="2" t="str">
        <x:v>openclaw/openclaw</x:v>
      </x:c>
      <x:c r="C109" s="2" t="n">
        <x:v>11621</x:v>
      </x:c>
      <x:c r="D109" s="2" t="str">
        <x:v>C20</x:v>
      </x:c>
      <x:c r="E109" s="2" t="str">
        <x:v>F02</x:v>
      </x:c>
      <x:c r="F109" s="2" t="str">
        <x:v>F02</x:v>
      </x:c>
      <x:c r="G109" s="2" t="str">
        <x:v>F02</x:v>
      </x:c>
      <x:c r="H109" s="2" t="str">
        <x:v>Execution-flow and state correction</x:v>
      </x:c>
      <x:c r="I109" s="2" t="str">
        <x:v>Candidate change not merged</x:v>
      </x:c>
      <x:c r="J109" s="2" t="str">
        <x:v>Extended configuration and list caching TTL</x:v>
      </x:c>
      <x:c r="K109" s="2" t="str">
        <x:v>The focus is state selection, execution progression, scope, or lifecycle management in the normal path.  Specific Action: Extending Configuration and List Caching TTL.  root cause Response: Reducing short TTL-induced high frequency file readings and list scans</x:v>
      </x:c>
      <x:c r="L109" s="2" t="str">
        <x:v>The two sets of labels agree and the original decision is retained; see the original annotations for the action and its association with the root cause.</x:v>
      </x:c>
      <x:c r="M109" s="2" t="str">
        <x:v>https://github.com/openclaw/openclaw/issues/11621</x:v>
      </x:c>
      <x:c r="N109" s="2" t="str">
        <x:v>F02</x:v>
      </x:c>
      <x:c r="O109" s="2" t="str">
        <x:v>Determinate from available evidence</x:v>
      </x:c>
    </x:row>
    <x:row r="110" ht="48.5" customHeight="1">
      <x:c r="A110" s="2" t="str">
        <x:v>P0013</x:v>
      </x:c>
      <x:c r="B110" s="2" t="str">
        <x:v>openclaw/openclaw</x:v>
      </x:c>
      <x:c r="C110" s="2" t="n">
        <x:v>14571</x:v>
      </x:c>
      <x:c r="D110" s="2" t="str">
        <x:v>C10</x:v>
      </x:c>
      <x:c r="E110" s="2" t="str">
        <x:v>F02</x:v>
      </x:c>
      <x:c r="F110" s="2" t="str">
        <x:v>F02</x:v>
      </x:c>
      <x:c r="G110" s="2" t="str">
        <x:v>F02</x:v>
      </x:c>
      <x:c r="H110" s="2" t="str">
        <x:v>Execution-flow and state correction</x:v>
      </x:c>
      <x:c r="I110" s="2" t="str">
        <x:v>Recorded as implemented in the source data</x:v>
      </x:c>
      <x:c r="J110" s="2" t="str">
        <x:v>In the core life cycle, the invocation has been declared.</x:v>
      </x:c>
      <x:c r="K110" s="2" t="str">
        <x:v>The focus is state selection, execution progression, scope, or lifecycle management in the normal path.  Specific action: A core lifecycle replenishment has declared the monkey invocation.  root cause Response: Registered processors actually receive tool and compression events</x:v>
      </x:c>
      <x:c r="L110" s="2" t="str">
        <x:v>The two sets of labels agree and the original decision is retained; see the original annotations for the action and its association with the root cause.</x:v>
      </x:c>
      <x:c r="M110" s="2" t="str">
        <x:v>https://github.com/openclaw/openclaw/issues/14571</x:v>
      </x:c>
      <x:c r="N110" s="2" t="str">
        <x:v>F02</x:v>
      </x:c>
      <x:c r="O110" s="2" t="str">
        <x:v>Determinate from available evidence</x:v>
      </x:c>
    </x:row>
    <x:row r="111" ht="48.5" customHeight="1">
      <x:c r="A111" s="2" t="str">
        <x:v>P0014</x:v>
      </x:c>
      <x:c r="B111" s="2" t="str">
        <x:v>openclaw/openclaw</x:v>
      </x:c>
      <x:c r="C111" s="2" t="n">
        <x:v>14721</x:v>
      </x:c>
      <x:c r="D111" s="2" t="str">
        <x:v>C05</x:v>
      </x:c>
      <x:c r="E111" s="2" t="str">
        <x:v>F02</x:v>
      </x:c>
      <x:c r="F111" s="2" t="str">
        <x:v>F02</x:v>
      </x:c>
      <x:c r="G111" s="2" t="str">
        <x:v>F02</x:v>
      </x:c>
      <x:c r="H111" s="2" t="str">
        <x:v>Execution-flow and state correction</x:v>
      </x:c>
      <x:c r="I111" s="2" t="str">
        <x:v>Recorded as implemented in the source data</x:v>
      </x:c>
      <x:c r="J111" s="2" t="str">
        <x:v>Registration is limited to the routing agent</x:v>
      </x:c>
      <x:c r="K111" s="2" t="str">
        <x:v>The focus is state selection, execution progression, scope, or lifecycle management in the normal path.  Specific action: The original life order limited registration to the routing agent.  root cause response: Avoid re-registration of the same default account across the work area with Skill packaging</x:v>
      </x:c>
      <x:c r="L111" s="2" t="str">
        <x:v>The two sets of labels agree and the original decision is retained; see the original annotations for the action and its association with the root cause.</x:v>
      </x:c>
      <x:c r="M111" s="2" t="str">
        <x:v>https://github.com/openclaw/openclaw/issues/14721</x:v>
      </x:c>
      <x:c r="N111" s="2" t="str">
        <x:v>F02</x:v>
      </x:c>
      <x:c r="O111" s="2" t="str">
        <x:v>Determinate from available evidence</x:v>
      </x:c>
    </x:row>
    <x:row r="112" ht="48.5" customHeight="1">
      <x:c r="A112" s="2" t="str">
        <x:v>P0015</x:v>
      </x:c>
      <x:c r="B112" s="2" t="str">
        <x:v>openclaw/openclaw</x:v>
      </x:c>
      <x:c r="C112" s="2" t="n">
        <x:v>16614</x:v>
      </x:c>
      <x:c r="D112" s="2" t="str">
        <x:v>C11</x:v>
      </x:c>
      <x:c r="E112" s="2" t="str">
        <x:v>F02</x:v>
      </x:c>
      <x:c r="F112" s="2" t="str">
        <x:v>F02</x:v>
      </x:c>
      <x:c r="G112" s="2" t="str">
        <x:v>F02</x:v>
      </x:c>
      <x:c r="H112" s="2" t="str">
        <x:v>Execution-flow and state correction</x:v>
      </x:c>
      <x:c r="I112" s="2" t="str">
        <x:v>Recorded as implemented in the source data</x:v>
      </x:c>
      <x:c r="J112" s="2" t="str">
        <x:v>Cancel derivatives with timeout using the Unified Process Supervisor</x:v>
      </x:c>
      <x:c r="K112" s="2" t="str">
        <x:v>The focus is state selection, execution progression, scope, or lifecycle management in the normal path.  Specific action: Delete derivatives with timeout using the Unified Process Supervisor.  root cause counterpart: Inverted trigger kill with explicit attribution and lifecycle control, targeting the PTY-defeated chain of inference</x:v>
      </x:c>
      <x:c r="L112" s="2" t="str">
        <x:v>The two sets of labels agree and the original decision is retained; see the original annotations for the action and its association with the root cause.</x:v>
      </x:c>
      <x:c r="M112" s="2" t="str">
        <x:v>https://github.com/openclaw/openclaw/issues/16614</x:v>
      </x:c>
      <x:c r="N112" s="2" t="str">
        <x:v>F02</x:v>
      </x:c>
      <x:c r="O112" s="2" t="str">
        <x:v>Determinate from available evidence</x:v>
      </x:c>
    </x:row>
    <x:row r="113" ht="48.5" customHeight="1">
      <x:c r="A113" s="2" t="str">
        <x:v>P0016</x:v>
      </x:c>
      <x:c r="B113" s="2" t="str">
        <x:v>openclaw/openclaw</x:v>
      </x:c>
      <x:c r="C113" s="2" t="n">
        <x:v>16826</x:v>
      </x:c>
      <x:c r="D113" s="2" t="str">
        <x:v>C15</x:v>
      </x:c>
      <x:c r="E113" s="2" t="str">
        <x:v>F01</x:v>
      </x:c>
      <x:c r="F113" s="2" t="str">
        <x:v>F01</x:v>
      </x:c>
      <x:c r="G113" s="2" t="str">
        <x:v>F01</x:v>
      </x:c>
      <x:c r="H113" s="2" t="str">
        <x:v>Representation and usage-contract alignment</x:v>
      </x:c>
      <x:c r="I113" s="2" t="str">
        <x:v>Recorded as implemented in the source data</x:v>
      </x:c>
      <x:c r="J113" s="2" t="str">
        <x:v>Conversation path transcribing analyzes explicitly entering the proxy domain</x:v>
      </x:c>
      <x:c r="K113" s="2" t="str">
        <x:v>The focus is correcting content representation, field transmission, static associations, or prompt/usage contracts.  Concrete action: Transcribed paths to resolve explicit input into the proxy domain.  root cause response: Non-default proxy paths verified by their own sessions directory to avoid default main cross-border misjudgments</x:v>
      </x:c>
      <x:c r="L113" s="2" t="str">
        <x:v>The two sets of labels agree and the original decision is retained; see the original annotations for the action and its association with the root cause.</x:v>
      </x:c>
      <x:c r="M113" s="2" t="str">
        <x:v>https://github.com/openclaw/openclaw/issues/16826</x:v>
      </x:c>
      <x:c r="N113" s="2" t="str">
        <x:v>F01</x:v>
      </x:c>
      <x:c r="O113" s="2" t="str">
        <x:v>Determinate from available evidence</x:v>
      </x:c>
    </x:row>
    <x:row r="114" ht="48.5" customHeight="1">
      <x:c r="A114" s="2" t="str">
        <x:v>P0018</x:v>
      </x:c>
      <x:c r="B114" s="2" t="str">
        <x:v>openclaw/openclaw</x:v>
      </x:c>
      <x:c r="C114" s="2" t="n">
        <x:v>22298</x:v>
      </x:c>
      <x:c r="D114" s="2" t="str">
        <x:v>C15</x:v>
      </x:c>
      <x:c r="E114" s="2" t="str">
        <x:v>F03</x:v>
      </x:c>
      <x:c r="F114" s="2" t="str">
        <x:v>F03</x:v>
      </x:c>
      <x:c r="G114" s="2" t="str">
        <x:v>F03</x:v>
      </x:c>
      <x:c r="H114" s="2" t="str">
        <x:v>Validation and failure-path hardening</x:v>
      </x:c>
      <x:c r="I114" s="2" t="str">
        <x:v>Recorded as implemented in the source data</x:v>
      </x:c>
      <x:c r="J114" s="2" t="str">
        <x:v>In-house operators with effective authentication sharing skipped pairs</x:v>
      </x:c>
      <x:c r="K114" s="2" t="str">
        <x:v>The focus is validation, controlled rejection, exception classification, or fallback after failure.  Specific Action: Internal operators that effectively share authentication skip matches.  root cause Response: Eliminate unfinished matches due to internal notification upgrades</x:v>
      </x:c>
      <x:c r="L114" s="2" t="str">
        <x:v>The two sets of labels agree and the original decision is retained; see the original annotations for the action and its association with the root cause.</x:v>
      </x:c>
      <x:c r="M114" s="2" t="str">
        <x:v>https://github.com/openclaw/openclaw/issues/22298</x:v>
      </x:c>
      <x:c r="N114" s="2" t="str">
        <x:v>F03</x:v>
      </x:c>
      <x:c r="O114" s="2" t="str">
        <x:v>Determinate from available evidence</x:v>
      </x:c>
    </x:row>
    <x:row r="115" ht="48.5" customHeight="1">
      <x:c r="A115" s="2" t="str">
        <x:v>P0019</x:v>
      </x:c>
      <x:c r="B115" s="2" t="str">
        <x:v>openclaw/openclaw</x:v>
      </x:c>
      <x:c r="C115" s="2" t="n">
        <x:v>22366</x:v>
      </x:c>
      <x:c r="D115" s="2" t="str">
        <x:v>C17</x:v>
      </x:c>
      <x:c r="E115" s="2" t="str">
        <x:v>F04</x:v>
      </x:c>
      <x:c r="F115" s="2" t="str">
        <x:v>F04</x:v>
      </x:c>
      <x:c r="G115" s="2" t="str">
        <x:v>F04</x:v>
      </x:c>
      <x:c r="H115" s="2" t="str">
        <x:v>Environment and distribution adaptation</x:v>
      </x:c>
      <x:c r="I115" s="2" t="str">
        <x:v>Candidate change not merged</x:v>
      </x:c>
      <x:c r="J115" s="2" t="str">
        <x:v>Binary detection check common installation directory</x:v>
      </x:c>
      <x:c r="K115" s="2" t="str">
        <x:v>The focus is platform prerequisites, build dependencies, deployment, or installation/distribution artifacts.  Concrete action: Biomedical detection and inspection of common installation directories.    root cause Corresponds: Minimum PATH Protect the environment Additional note Find the source and avoid legal reliance on a conviction missing</x:v>
      </x:c>
      <x:c r="L115" s="2" t="str">
        <x:v>The two sets of labels agree and the original decision is retained; see the original annotations for the action and its association with the root cause.</x:v>
      </x:c>
      <x:c r="M115" s="2" t="str">
        <x:v>https://github.com/openclaw/openclaw/issues/22366</x:v>
      </x:c>
      <x:c r="N115" s="2" t="str">
        <x:v>F04</x:v>
      </x:c>
      <x:c r="O115" s="2" t="str">
        <x:v>Determinate from available evidence</x:v>
      </x:c>
    </x:row>
    <x:row r="116" ht="48.5" customHeight="1">
      <x:c r="A116" s="2" t="str">
        <x:v>P0020</x:v>
      </x:c>
      <x:c r="B116" s="2" t="str">
        <x:v>openclaw/openclaw</x:v>
      </x:c>
      <x:c r="C116" s="2" t="n">
        <x:v>23471</x:v>
      </x:c>
      <x:c r="D116" s="2" t="str">
        <x:v>C15</x:v>
      </x:c>
      <x:c r="E116" s="2" t="str">
        <x:v>F03</x:v>
      </x:c>
      <x:c r="F116" s="2" t="str">
        <x:v>F03</x:v>
      </x:c>
      <x:c r="G116" s="2" t="str">
        <x:v>F03</x:v>
      </x:c>
      <x:c r="H116" s="2" t="str">
        <x:v>Validation and failure-path hardening</x:v>
      </x:c>
      <x:c r="I116" s="2" t="str">
        <x:v>Partial coverage</x:v>
      </x:c>
      <x:c r="J116" s="2" t="str">
        <x:v>Free to self-pair as a local rear-end with authentication conditions</x:v>
      </x:c>
      <x:c r="K116" s="2" t="str">
        <x:v>The focus is validation, controlled rejection, exception classification, or fallback after failure.  Specific Action: Self-pairing exemption under local back-end status and authentication conditions.  root cause Response: Let the gateway complete its own backend loop connection under credible conditions</x:v>
      </x:c>
      <x:c r="L116" s="2" t="str">
        <x:v>The two sets of labels agree and the original decision is retained; see the original annotations for the action and its association with the root cause.</x:v>
      </x:c>
      <x:c r="M116" s="2" t="str">
        <x:v>https://github.com/openclaw/openclaw/issues/23471</x:v>
      </x:c>
      <x:c r="N116" s="2" t="str">
        <x:v>F03</x:v>
      </x:c>
      <x:c r="O116" s="2" t="str">
        <x:v>Determinate from available evidence</x:v>
      </x:c>
    </x:row>
    <x:row r="117" ht="48.5" customHeight="1">
      <x:c r="A117" s="2" t="str">
        <x:v>P0021</x:v>
      </x:c>
      <x:c r="B117" s="2" t="str">
        <x:v>openclaw/openclaw</x:v>
      </x:c>
      <x:c r="C117" s="2" t="n">
        <x:v>24477</x:v>
      </x:c>
      <x:c r="D117" s="2" t="str">
        <x:v>C15</x:v>
      </x:c>
      <x:c r="E117" s="2" t="str">
        <x:v>F03</x:v>
      </x:c>
      <x:c r="F117" s="2" t="str">
        <x:v>F03</x:v>
      </x:c>
      <x:c r="G117" s="2" t="str">
        <x:v>F03</x:v>
      </x:c>
      <x:c r="H117" s="2" t="str">
        <x:v>Validation and failure-path hardening</x:v>
      </x:c>
      <x:c r="I117" s="2" t="str">
        <x:v>Recorded as implemented in the source data</x:v>
      </x:c>
      <x:c r="J117" s="2" t="str">
        <x:v>Dynamic key de-sensitivity and rewriting recovery unified moving sensitive pattern recognition</x:v>
      </x:c>
      <x:c r="K117" s="2" t="str">
        <x:v>The focus is validation, controlled rejection, exception classification, or fallback after failure.  Specific action: Dynamic key de-sensitivity and rewriting recovery unified sensitive pattern recognition.    root cause Corresponds: Remove only plugin path fallback, overwrite catchall environment variable</x:v>
      </x:c>
      <x:c r="L117" s="2" t="str">
        <x:v>The two sets of labels agree and the original decision is retained; see the original annotations for the action and its association with the root cause.</x:v>
      </x:c>
      <x:c r="M117" s="2" t="str">
        <x:v>https://github.com/openclaw/openclaw/issues/24477</x:v>
      </x:c>
      <x:c r="N117" s="2" t="str">
        <x:v>F03</x:v>
      </x:c>
      <x:c r="O117" s="2" t="str">
        <x:v>Determinate from available evidence</x:v>
      </x:c>
    </x:row>
    <x:row r="118" ht="48.5" customHeight="1">
      <x:c r="A118" s="2" t="str">
        <x:v>P0023</x:v>
      </x:c>
      <x:c r="B118" s="2" t="str">
        <x:v>openclaw/openclaw</x:v>
      </x:c>
      <x:c r="C118" s="2" t="n">
        <x:v>25481</x:v>
      </x:c>
      <x:c r="D118" s="2" t="str">
        <x:v>C14</x:v>
      </x:c>
      <x:c r="E118" s="2" t="str">
        <x:v>F01</x:v>
      </x:c>
      <x:c r="F118" s="2" t="str">
        <x:v>F01</x:v>
      </x:c>
      <x:c r="G118" s="2" t="str">
        <x:v>F01</x:v>
      </x:c>
      <x:c r="H118" s="2" t="str">
        <x:v>Representation and usage-contract alignment</x:v>
      </x:c>
      <x:c r="I118" s="2" t="str">
        <x:v>Recorded as implemented in the source data</x:v>
      </x:c>
      <x:c r="J118" s="2" t="str">
        <x:v>Sliced and delivered in HTML structural safety</x:v>
      </x:c>
      <x:c r="K118" s="2" t="str">
        <x:v>The focus is correcting content representation, field transmission, static associations, or prompt/usage contracts.  Specific Action: Split and delivered by piece according to HTML structural security.  root cause: Meets Telegram length limits while retaining the physical label and last button</x:v>
      </x:c>
      <x:c r="L118" s="2" t="str">
        <x:v>The two sets of labels agree and the original decision is retained; see the original annotations for the action and its association with the root cause.</x:v>
      </x:c>
      <x:c r="M118" s="2" t="str">
        <x:v>https://github.com/openclaw/openclaw/issues/25481</x:v>
      </x:c>
      <x:c r="N118" s="2" t="str">
        <x:v>F01</x:v>
      </x:c>
      <x:c r="O118" s="2" t="str">
        <x:v>Determinate from available evidence</x:v>
      </x:c>
    </x:row>
    <x:row r="119" ht="48.5" customHeight="1">
      <x:c r="A119" s="2" t="str">
        <x:v>P0025</x:v>
      </x:c>
      <x:c r="B119" s="2" t="str">
        <x:v>openclaw/openclaw</x:v>
      </x:c>
      <x:c r="C119" s="2" t="n">
        <x:v>33001</x:v>
      </x:c>
      <x:c r="D119" s="2" t="str">
        <x:v>C19</x:v>
      </x:c>
      <x:c r="E119" s="2" t="str">
        <x:v>F01</x:v>
      </x:c>
      <x:c r="F119" s="2" t="str">
        <x:v>F01</x:v>
      </x:c>
      <x:c r="G119" s="2" t="str">
        <x:v>F01</x:v>
      </x:c>
      <x:c r="H119" s="2" t="str">
        <x:v>Representation and usage-contract alignment</x:v>
      </x:c>
      <x:c r="I119" s="2" t="str">
        <x:v>Partial coverage</x:v>
      </x:c>
      <x:c r="J119" s="2" t="str">
        <x:v>Plug-in SDK with packet path loading names</x:v>
      </x:c>
      <x:c r="K119" s="2" t="str">
        <x:v>The focus is correcting content representation, field transmission, static associations, or prompt/usage contracts.  Specific action: Add-in add-on SDK with packet path loading names.  root cause response: allowing the loaders to analyze and test supported deep inputs while running</x:v>
      </x:c>
      <x:c r="L119" s="2" t="str">
        <x:v>The two sets of labels agree and the original decision is retained; see the original annotations for the action and its association with the root cause.</x:v>
      </x:c>
      <x:c r="M119" s="2" t="str">
        <x:v>https://github.com/openclaw/openclaw/issues/33001</x:v>
      </x:c>
      <x:c r="N119" s="2" t="str">
        <x:v>F01</x:v>
      </x:c>
      <x:c r="O119" s="2" t="str">
        <x:v>Determinate from available evidence</x:v>
      </x:c>
    </x:row>
    <x:row r="120" ht="48.5" customHeight="1">
      <x:c r="A120" s="2" t="str">
        <x:v>P0027</x:v>
      </x:c>
      <x:c r="B120" s="2" t="str">
        <x:v>openclaw/openclaw</x:v>
      </x:c>
      <x:c r="C120" s="2" t="n">
        <x:v>35882</x:v>
      </x:c>
      <x:c r="D120" s="2" t="str">
        <x:v>C15</x:v>
      </x:c>
      <x:c r="E120" s="2" t="str">
        <x:v>F03</x:v>
      </x:c>
      <x:c r="F120" s="2" t="str">
        <x:v>F03</x:v>
      </x:c>
      <x:c r="G120" s="2" t="str">
        <x:v>F03</x:v>
      </x:c>
      <x:c r="H120" s="2" t="str">
        <x:v>Validation and failure-path hardening</x:v>
      </x:c>
      <x:c r="I120" s="2" t="str">
        <x:v>Recorded as implemented in the source data</x:v>
      </x:c>
      <x:c r="J120" s="2" t="str">
        <x:v>Restricting switches and keeping accurate cross-border errors</x:v>
      </x:c>
      <x:c r="K120" s="2" t="str">
        <x:v>Core to base operations determined by the workspaceOnly whether to force rejection, to boundary scope F03; accuracy error to support feedback F01.  root cause Response: Underlying operations respect workspaceOnly=false, avoiding unified transcription into non-existent files</x:v>
      </x:c>
      <x:c r="L120" s="2" t="str">
        <x:v>The two sets of labels agree and the original decision is retained; see the original annotations for the action and its association with the root cause.</x:v>
      </x:c>
      <x:c r="M120" s="2" t="str">
        <x:v>https://github.com/openclaw/openclaw/issues/35882</x:v>
      </x:c>
      <x:c r="N120" s="2" t="str">
        <x:v>F03</x:v>
      </x:c>
      <x:c r="O120" s="2" t="str">
        <x:v>Determinate from available evidence</x:v>
      </x:c>
    </x:row>
    <x:row r="121" ht="48.5" customHeight="1">
      <x:c r="A121" s="2" t="str">
        <x:v>P0029</x:v>
      </x:c>
      <x:c r="B121" s="2" t="str">
        <x:v>openclaw/openclaw</x:v>
      </x:c>
      <x:c r="C121" s="2" t="n">
        <x:v>39157</x:v>
      </x:c>
      <x:c r="D121" s="2" t="str">
        <x:v>C03</x:v>
      </x:c>
      <x:c r="E121" s="2" t="str">
        <x:v>F01</x:v>
      </x:c>
      <x:c r="F121" s="2" t="str">
        <x:v>F01</x:v>
      </x:c>
      <x:c r="G121" s="2" t="str">
        <x:v>F01</x:v>
      </x:c>
      <x:c r="H121" s="2" t="str">
        <x:v>Representation and usage-contract alignment</x:v>
      </x:c>
      <x:c r="I121" s="2" t="str">
        <x:v>Recorded as implemented in the source data</x:v>
      </x:c>
      <x:c r="J121" s="2" t="str">
        <x:v>Deliver the directory of the father's work area to the derived link</x:v>
      </x:c>
      <x:c r="K121" s="2" t="str">
        <x:v>The focus is correcting content representation, field transmission, static associations, or prompt/usage contracts.  Concrete action: Pass the parent work area directory to the derivative link.  root cause Response: Get child session to load the boot files from the actual work area of the father</x:v>
      </x:c>
      <x:c r="L121" s="2" t="str">
        <x:v>The two sets of labels agree and the original decision is retained; see the original annotations for the action and its association with the root cause.</x:v>
      </x:c>
      <x:c r="M121" s="2" t="str">
        <x:v>https://github.com/openclaw/openclaw/issues/39157</x:v>
      </x:c>
      <x:c r="N121" s="2" t="str">
        <x:v>F01</x:v>
      </x:c>
      <x:c r="O121" s="2" t="str">
        <x:v>Determinate from available evidence</x:v>
      </x:c>
    </x:row>
    <x:row r="122" ht="48.5" customHeight="1">
      <x:c r="A122" s="2" t="str">
        <x:v>P0033</x:v>
      </x:c>
      <x:c r="B122" s="2" t="str">
        <x:v>openclaw/openclaw</x:v>
      </x:c>
      <x:c r="C122" s="2" t="n">
        <x:v>40159</x:v>
      </x:c>
      <x:c r="D122" s="2" t="str">
        <x:v>C16</x:v>
      </x:c>
      <x:c r="E122" s="2" t="str">
        <x:v>F02</x:v>
      </x:c>
      <x:c r="F122" s="2" t="str">
        <x:v>U1</x:v>
      </x:c>
      <x:c r="G122" s="2" t="str">
        <x:v>F02</x:v>
      </x:c>
      <x:c r="H122" s="2" t="str">
        <x:v>Execution-flow and state correction</x:v>
      </x:c>
      <x:c r="I122" s="2" t="str">
        <x:v>Insufficient association evidence</x:v>
      </x:c>
      <x:c r="J122" s="2" t="str">
        <x:v>Recommended action: Recommended session initial resolution to keep existing model provider coverage and verify actual derivative inputs.</x:v>
      </x:c>
      <x:c r="K122" s="2" t="str">
        <x:v>Unincorporated candidates explicitly remove coverage reading from resetTriggered conditions, closest to the new session status selection; actual running paths are disputed.  This is an additional closest-fit assignment, not an established repair fact.</x:v>
      </x:c>
      <x:c r="L122" s="2" t="str">
        <x:v>One closest-fit strategy is selected as additionally requested.  Unincorporated candidates explicitly remove coverage reading from resetTriggered conditions, closest to the new session status selection; actual running paths are disputed.  This is an additional closest-fit assignment, not an established repair fact.  The original evidence review is U1; this does not establish that a targeted repair has been verified.</x:v>
      </x:c>
      <x:c r="M122" s="2" t="str">
        <x:v>https://github.com/openclaw/openclaw/issues/40159</x:v>
      </x:c>
      <x:c r="N122" s="2" t="str">
        <x:v>U1</x:v>
      </x:c>
      <x:c r="O122" s="2" t="str">
        <x:v>Closest fit to the intent described in the summary</x:v>
      </x:c>
    </x:row>
    <x:row r="123" ht="48.5" customHeight="1">
      <x:c r="A123" s="2" t="str">
        <x:v>P0034</x:v>
      </x:c>
      <x:c r="B123" s="2" t="str">
        <x:v>openclaw/openclaw</x:v>
      </x:c>
      <x:c r="C123" s="2" t="n">
        <x:v>40693</x:v>
      </x:c>
      <x:c r="D123" s="2" t="str">
        <x:v>C10</x:v>
      </x:c>
      <x:c r="E123" s="2" t="str">
        <x:v>F02</x:v>
      </x:c>
      <x:c r="F123" s="2" t="str">
        <x:v>F02</x:v>
      </x:c>
      <x:c r="G123" s="2" t="str">
        <x:v>F02</x:v>
      </x:c>
      <x:c r="H123" s="2" t="str">
        <x:v>Execution-flow and state correction</x:v>
      </x:c>
      <x:c r="I123" s="2" t="str">
        <x:v>Recorded as implemented in the source data</x:v>
      </x:c>
      <x:c r="J123" s="2" t="str">
        <x:v>Registering the ACP sub run concurrency to complete lifecycle events</x:v>
      </x:c>
      <x:c r="K123" s="2" t="str">
        <x:v>The focus is state selection, execution progression, scope, or lifecycle management in the normal path.  Specific Action: Registering ACP Sub-Running concurrency to complete lifecycle events.  root cause respondents: Automated notification of dependent registration and termination signals</x:v>
      </x:c>
      <x:c r="L123" s="2" t="str">
        <x:v>The two sets of labels agree and the original decision is retained; see the original annotations for the action and its association with the root cause.</x:v>
      </x:c>
      <x:c r="M123" s="2" t="str">
        <x:v>https://github.com/openclaw/openclaw/issues/40693</x:v>
      </x:c>
      <x:c r="N123" s="2" t="str">
        <x:v>F02</x:v>
      </x:c>
      <x:c r="O123" s="2" t="str">
        <x:v>Determinate from available evidence</x:v>
      </x:c>
    </x:row>
    <x:row r="124" ht="35" customHeight="1">
      <x:c r="A124" s="2" t="str">
        <x:v>P0035</x:v>
      </x:c>
      <x:c r="B124" s="2" t="str">
        <x:v>openclaw/openclaw</x:v>
      </x:c>
      <x:c r="C124" s="2" t="n">
        <x:v>41436</x:v>
      </x:c>
      <x:c r="D124" s="2" t="str">
        <x:v>C05</x:v>
      </x:c>
      <x:c r="E124" s="2" t="str">
        <x:v>F01</x:v>
      </x:c>
      <x:c r="F124" s="2" t="str">
        <x:v>F03</x:v>
      </x:c>
      <x:c r="G124" s="2" t="str">
        <x:v>F03</x:v>
      </x:c>
      <x:c r="H124" s="2" t="str">
        <x:v>Validation and failure-path hardening</x:v>
      </x:c>
      <x:c r="I124" s="2" t="str">
        <x:v>Recorded as implemented in the source data</x:v>
      </x:c>
      <x:c r="J124" s="2" t="str">
        <x:v>Allows ACP session keys to write derivative gene fields</x:v>
      </x:c>
      <x:c r="K124" s="2" t="str">
        <x:v>The supportsSpawnLineage explicitly loosens field checks on the legitimate session keys, directly correcting incorrectly rejected boundary conditions.</x:v>
      </x:c>
      <x:c r="L124" s="2" t="str">
        <x:v>Integration task back-check freeze source material: supportsSpawnLineage explicitly loosens field checks on legitimate session keys, directly correcting incorrectly rejected boundary conditions.</x:v>
      </x:c>
      <x:c r="M124" s="2" t="str">
        <x:v>https://github.com/openclaw/openclaw/issues/41436</x:v>
      </x:c>
      <x:c r="N124" s="2" t="str">
        <x:v>F03</x:v>
      </x:c>
      <x:c r="O124" s="2" t="str">
        <x:v>Determinate from available evidence</x:v>
      </x:c>
    </x:row>
    <x:row r="125" ht="48.5" customHeight="1">
      <x:c r="A125" s="2" t="str">
        <x:v>P0045</x:v>
      </x:c>
      <x:c r="B125" s="2" t="str">
        <x:v>openclaw/openclaw</x:v>
      </x:c>
      <x:c r="C125" s="2" t="n">
        <x:v>49572</x:v>
      </x:c>
      <x:c r="D125" s="2" t="str">
        <x:v>C11</x:v>
      </x:c>
      <x:c r="E125" s="2" t="str">
        <x:v>U1</x:v>
      </x:c>
      <x:c r="F125" s="2" t="str">
        <x:v>U1</x:v>
      </x:c>
      <x:c r="G125" s="2" t="str">
        <x:v>F02</x:v>
      </x:c>
      <x:c r="H125" s="2" t="str">
        <x:v>Execution-flow and state correction</x:v>
      </x:c>
      <x:c r="I125" s="2" t="str">
        <x:v>Insufficient association evidence</x:v>
      </x:c>
      <x:c r="J125" s="2" t="str">
        <x:v>Recommended Action: Recommended that the compiler continue running with short-lived announcements to unlock and establish an independent awakened owner.</x:v>
      </x:c>
      <x:c r="K125" s="2" t="str">
        <x:v>abstract claims follows the compiler with a new wake-up run, closest to completing the follow-up run lifecycle; the induced submission is unrelated and the original behavior already exists.  This is an additional closest-fit assignment, not an established repair fact.</x:v>
      </x:c>
      <x:c r="L125" s="2" t="str">
        <x:v>One closest-fit strategy is selected as additionally requested.  abstract claims follows the compiler with a new wake-up run, closest to completing the follow-up run lifecycle; the induced submission is unrelated and the original behavior already exists.  This is an additional closest-fit assignment, not an established repair fact.  The original evidence review is U1; this does not establish that a targeted repair has been verified.</x:v>
      </x:c>
      <x:c r="M125" s="2" t="str">
        <x:v>https://github.com/openclaw/openclaw/issues/49572</x:v>
      </x:c>
      <x:c r="N125" s="2" t="str">
        <x:v>U1</x:v>
      </x:c>
      <x:c r="O125" s="2" t="str">
        <x:v>Closest fit to the intent described in the summary</x:v>
      </x:c>
    </x:row>
    <x:row r="126" ht="48.5" customHeight="1">
      <x:c r="A126" s="2" t="str">
        <x:v>P0054</x:v>
      </x:c>
      <x:c r="B126" s="2" t="str">
        <x:v>openclaw/openclaw</x:v>
      </x:c>
      <x:c r="C126" s="2" t="n">
        <x:v>54013</x:v>
      </x:c>
      <x:c r="D126" s="2" t="str">
        <x:v>C06</x:v>
      </x:c>
      <x:c r="E126" s="2" t="str">
        <x:v>F02</x:v>
      </x:c>
      <x:c r="F126" s="2" t="str">
        <x:v>F02</x:v>
      </x:c>
      <x:c r="G126" s="2" t="str">
        <x:v>F02</x:v>
      </x:c>
      <x:c r="H126" s="2" t="str">
        <x:v>Execution-flow and state correction</x:v>
      </x:c>
      <x:c r="I126" s="2" t="str">
        <x:v>Recorded as implemented in the source data</x:v>
      </x:c>
      <x:c r="J126" s="2" t="str">
        <x:v>Out-of-station adapters read the fixed channel registry</x:v>
      </x:c>
      <x:c r="K126" s="2" t="str">
        <x:v>The focus is state selection, execution progression, scope, or lifecycle management in the normal path.  Concrete action: exit station adapter read the fixed channel registry.  root cause Response: Avoid losing channels after other plugins load the replacement activity registry</x:v>
      </x:c>
      <x:c r="L126" s="2" t="str">
        <x:v>The two sets of labels agree and the original decision is retained; see the original annotations for the action and its association with the root cause.</x:v>
      </x:c>
      <x:c r="M126" s="2" t="str">
        <x:v>https://github.com/openclaw/openclaw/issues/54013</x:v>
      </x:c>
      <x:c r="N126" s="2" t="str">
        <x:v>F02</x:v>
      </x:c>
      <x:c r="O126" s="2" t="str">
        <x:v>Determinate from available evidence</x:v>
      </x:c>
    </x:row>
    <x:row r="127" ht="48.5" customHeight="1">
      <x:c r="A127" s="2" t="str">
        <x:v>P0056</x:v>
      </x:c>
      <x:c r="B127" s="2" t="str">
        <x:v>openclaw/openclaw</x:v>
      </x:c>
      <x:c r="C127" s="2" t="n">
        <x:v>55382</x:v>
      </x:c>
      <x:c r="D127" s="2" t="str">
        <x:v>C06</x:v>
      </x:c>
      <x:c r="E127" s="2" t="str">
        <x:v>F02</x:v>
      </x:c>
      <x:c r="F127" s="2" t="str">
        <x:v>F02</x:v>
      </x:c>
      <x:c r="G127" s="2" t="str">
        <x:v>F02</x:v>
      </x:c>
      <x:c r="H127" s="2" t="str">
        <x:v>Execution-flow and state correction</x:v>
      </x:c>
      <x:c r="I127" s="2" t="str">
        <x:v>Recorded as implemented in the source data</x:v>
      </x:c>
      <x:c r="J127" s="2" t="str">
        <x:v>Out-of-station adapters read the fixed channel registry</x:v>
      </x:c>
      <x:c r="K127" s="2" t="str">
        <x:v>The focus is state selection, execution progression, scope, or lifecycle management in the normal path.  Concrete action: exit station adapter read the fixed channel registry.  root cause response: Fixed start-up channel snapshot instead of variable global registry, and adapters to prevent repeat deliveries are still not found</x:v>
      </x:c>
      <x:c r="L127" s="2" t="str">
        <x:v>The two sets of labels agree and the original decision is retained; see the original annotations for the action and its association with the root cause.</x:v>
      </x:c>
      <x:c r="M127" s="2" t="str">
        <x:v>https://github.com/openclaw/openclaw/issues/55382</x:v>
      </x:c>
      <x:c r="N127" s="2" t="str">
        <x:v>F02</x:v>
      </x:c>
      <x:c r="O127" s="2" t="str">
        <x:v>Determinate from available evidence</x:v>
      </x:c>
    </x:row>
    <x:row r="128" ht="48.5" customHeight="1">
      <x:c r="A128" s="2" t="str">
        <x:v>P0058</x:v>
      </x:c>
      <x:c r="B128" s="2" t="str">
        <x:v>openclaw/openclaw</x:v>
      </x:c>
      <x:c r="C128" s="2" t="n">
        <x:v>57928</x:v>
      </x:c>
      <x:c r="D128" s="2" t="str">
        <x:v>C05</x:v>
      </x:c>
      <x:c r="E128" s="2" t="str">
        <x:v>U1</x:v>
      </x:c>
      <x:c r="F128" s="2" t="str">
        <x:v>U1</x:v>
      </x:c>
      <x:c r="G128" s="2" t="str">
        <x:v>F01</x:v>
      </x:c>
      <x:c r="H128" s="2" t="str">
        <x:v>Representation and usage-contract alignment</x:v>
      </x:c>
      <x:c r="I128" s="2" t="str">
        <x:v>Insufficient association evidence</x:v>
      </x:c>
      <x:c r="J128" s="2" t="str">
        <x:v>Recommended action: Recommended tool to carry the actual session and parent attribution fields with the message event, separated by the consumer's button.</x:v>
      </x:c>
      <x:c r="K128" s="2" t="str">
        <x:v>The relevant abstract may explicitly supplement the attribution metadata, closest to the event identity field contract; no proof of correction of sessionKey contamination.  This is an additional closest-fit assignment, not an established repair fact.</x:v>
      </x:c>
      <x:c r="L128" s="2" t="str">
        <x:v>One closest-fit strategy is selected as additionally requested.  The relevant abstract may explicitly supplement the attribution metadata, closest to the event identity field contract; no proof of correction of sessionKey contamination.  This is an additional closest-fit assignment, not an established repair fact.  The original evidence review is U1; this does not establish that a targeted repair has been verified.</x:v>
      </x:c>
      <x:c r="M128" s="2" t="str">
        <x:v>https://github.com/openclaw/openclaw/issues/57928</x:v>
      </x:c>
      <x:c r="N128" s="2" t="str">
        <x:v>U1</x:v>
      </x:c>
      <x:c r="O128" s="2" t="str">
        <x:v>Closest fit to the intent described in the summary</x:v>
      </x:c>
    </x:row>
    <x:row r="129" ht="48.5" customHeight="1">
      <x:c r="A129" s="2" t="str">
        <x:v>P0059</x:v>
      </x:c>
      <x:c r="B129" s="2" t="str">
        <x:v>openclaw/openclaw</x:v>
      </x:c>
      <x:c r="C129" s="2" t="n">
        <x:v>58424</x:v>
      </x:c>
      <x:c r="D129" s="2" t="str">
        <x:v>C10</x:v>
      </x:c>
      <x:c r="E129" s="2" t="str">
        <x:v>U1</x:v>
      </x:c>
      <x:c r="F129" s="2" t="str">
        <x:v>U1</x:v>
      </x:c>
      <x:c r="G129" s="2" t="str">
        <x:v>F02</x:v>
      </x:c>
      <x:c r="H129" s="2" t="str">
        <x:v>Execution-flow and state correction</x:v>
      </x:c>
      <x:c r="I129" s="2" t="str">
        <x:v>Workaround only or existing behavior</x:v>
      </x:c>
      <x:c r="J129" s="2" t="str">
        <x:v>Recommended action: Recommended to ensure that stop signals bypass the barrier queue and reach the target front runway.</x:v>
      </x:c>
      <x:c r="K129" s="2" t="str">
        <x:v>Summary List of suspension controllers, signal transmission and kill process paths closest to life cycle cancellation; these are already behaviours that have not been confirmed for actual failure. This is an additional closest-fit assignment, not an established repair fact.</x:v>
      </x:c>
      <x:c r="L129" s="2" t="str">
        <x:v>One closest-fit strategy is selected as additionally requested.  Summary List of suspension controllers, signal transmission and kill process paths closest to life cycle cancellation; these are already behaviours that have not been confirmed for actual failure. This is an additional closest-fit assignment, not an established repair fact.  The original evidence review is U1; this does not establish that a targeted repair has been verified.</x:v>
      </x:c>
      <x:c r="M129" s="2" t="str">
        <x:v>https://github.com/openclaw/openclaw/issues/58424</x:v>
      </x:c>
      <x:c r="N129" s="2" t="str">
        <x:v>U1</x:v>
      </x:c>
      <x:c r="O129" s="2" t="str">
        <x:v>Closest fit to the intent described in the summary</x:v>
      </x:c>
    </x:row>
    <x:row r="130" ht="48.5" customHeight="1">
      <x:c r="A130" s="2" t="str">
        <x:v>P0061</x:v>
      </x:c>
      <x:c r="B130" s="2" t="str">
        <x:v>openclaw/openclaw</x:v>
      </x:c>
      <x:c r="C130" s="2" t="n">
        <x:v>59026</x:v>
      </x:c>
      <x:c r="D130" s="2" t="str">
        <x:v>C06</x:v>
      </x:c>
      <x:c r="E130" s="2" t="str">
        <x:v>F02</x:v>
      </x:c>
      <x:c r="F130" s="2" t="str">
        <x:v>F02</x:v>
      </x:c>
      <x:c r="G130" s="2" t="str">
        <x:v>F02</x:v>
      </x:c>
      <x:c r="H130" s="2" t="str">
        <x:v>Execution-flow and state correction</x:v>
      </x:c>
      <x:c r="I130" s="2" t="str">
        <x:v>Recorded as implemented in the source data</x:v>
      </x:c>
      <x:c r="J130" s="2" t="str">
        <x:v>System events retain shared session routing and clear out old threads</x:v>
      </x:c>
      <x:c r="K130" s="2" t="str">
        <x:v>The focus is state selection, execution progression, scope, or lifecycle management in the normal path.  Specific Action: System Events Reserving Shared Session Routing and Clearing Out of Classified Threads.  root cause Response: Preventing the completion of an event by rewriting lastChannel/lastTo so that subsequent messages fall into substrings</x:v>
      </x:c>
      <x:c r="L130" s="2" t="str">
        <x:v>The two sets of labels agree and the original decision is retained; see the original annotations for the action and its association with the root cause.</x:v>
      </x:c>
      <x:c r="M130" s="2" t="str">
        <x:v>https://github.com/openclaw/openclaw/issues/59026</x:v>
      </x:c>
      <x:c r="N130" s="2" t="str">
        <x:v>F02</x:v>
      </x:c>
      <x:c r="O130" s="2" t="str">
        <x:v>Determinate from available evidence</x:v>
      </x:c>
    </x:row>
    <x:row r="131" ht="48.5" customHeight="1">
      <x:c r="A131" s="2" t="str">
        <x:v>P0062</x:v>
      </x:c>
      <x:c r="B131" s="2" t="str">
        <x:v>openclaw/openclaw</x:v>
      </x:c>
      <x:c r="C131" s="2" t="n">
        <x:v>62949</x:v>
      </x:c>
      <x:c r="D131" s="2" t="str">
        <x:v>C19</x:v>
      </x:c>
      <x:c r="E131" s="2" t="str">
        <x:v>F04</x:v>
      </x:c>
      <x:c r="F131" s="2" t="str">
        <x:v>F04</x:v>
      </x:c>
      <x:c r="G131" s="2" t="str">
        <x:v>F04</x:v>
      </x:c>
      <x:c r="H131" s="2" t="str">
        <x:v>Environment and distribution adaptation</x:v>
      </x:c>
      <x:c r="I131" s="2" t="str">
        <x:v>Recorded as implemented in the source data</x:v>
      </x:c>
      <x:c r="J131" s="2" t="str">
        <x:v>Production contract removal of test aid export</x:v>
      </x:c>
      <x:c r="K131" s="2" t="str">
        <x:v>Removing the test dependent export chain makes the production product fully loadable and is isolated to F04 according to the construction; additional path testing is not the dominant action. root cause response: prevent packaging from bringing vitest-like tests into the production load chain</x:v>
      </x:c>
      <x:c r="L131" s="2" t="str">
        <x:v>The two sets of labels agree and the original decision is retained; see the original annotations for the action and its association with the root cause.</x:v>
      </x:c>
      <x:c r="M131" s="2" t="str">
        <x:v>https://github.com/openclaw/openclaw/issues/62949</x:v>
      </x:c>
      <x:c r="N131" s="2" t="str">
        <x:v>F04</x:v>
      </x:c>
      <x:c r="O131" s="2" t="str">
        <x:v>Determinate from available evidence</x:v>
      </x:c>
    </x:row>
    <x:row r="132" ht="48.5" customHeight="1">
      <x:c r="A132" s="2" t="str">
        <x:v>P0063</x:v>
      </x:c>
      <x:c r="B132" s="2" t="str">
        <x:v>openclaw/openclaw</x:v>
      </x:c>
      <x:c r="C132" s="2" t="n">
        <x:v>63018</x:v>
      </x:c>
      <x:c r="D132" s="2" t="str">
        <x:v>C19</x:v>
      </x:c>
      <x:c r="E132" s="2" t="str">
        <x:v>F02</x:v>
      </x:c>
      <x:c r="F132" s="2" t="str">
        <x:v>U1</x:v>
      </x:c>
      <x:c r="G132" s="2" t="str">
        <x:v>F02</x:v>
      </x:c>
      <x:c r="H132" s="2" t="str">
        <x:v>Execution-flow and state correction</x:v>
      </x:c>
      <x:c r="I132" s="2" t="str">
        <x:v>Workaround only or existing behavior</x:v>
      </x:c>
      <x:c r="J132" s="2" t="str">
        <x:v>Recommended Action: Recommended to keep the check plugins registry synchronized with the Universal Loop Operator when loaded while running.</x:v>
      </x:c>
      <x:c r="K132" s="2" t="str">
        <x:v>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x:v>
      </x:c>
      <x:c r="L132" s="2" t="str">
        <x:v>One closest-fit strategy is selected as additionally requested.  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  The original evidence review is U1; this does not establish that a targeted repair has been verified.</x:v>
      </x:c>
      <x:c r="M132" s="2" t="str">
        <x:v>https://github.com/openclaw/openclaw/issues/63018</x:v>
      </x:c>
      <x:c r="N132" s="2" t="str">
        <x:v>U1</x:v>
      </x:c>
      <x:c r="O132" s="2" t="str">
        <x:v>Closest fit to the intent described in the summary</x:v>
      </x:c>
    </x:row>
    <x:row r="133" ht="48.5" customHeight="1">
      <x:c r="A133" s="2" t="str">
        <x:v>P0064</x:v>
      </x:c>
      <x:c r="B133" s="2" t="str">
        <x:v>openclaw/openclaw</x:v>
      </x:c>
      <x:c r="C133" s="2" t="n">
        <x:v>63210</x:v>
      </x:c>
      <x:c r="D133" s="2" t="str">
        <x:v>C10</x:v>
      </x:c>
      <x:c r="E133" s="2" t="str">
        <x:v>F03</x:v>
      </x:c>
      <x:c r="F133" s="2" t="str">
        <x:v>F03</x:v>
      </x:c>
      <x:c r="G133" s="2" t="str">
        <x:v>F03</x:v>
      </x:c>
      <x:c r="H133" s="2" t="str">
        <x:v>Validation and failure-path hardening</x:v>
      </x:c>
      <x:c r="I133" s="2" t="str">
        <x:v>Partial coverage</x:v>
      </x:c>
      <x:c r="J133" s="2" t="str">
        <x:v>Only release the full tool stop cause and keep the interrupted status</x:v>
      </x:c>
      <x:c r="K133" s="2" t="str">
        <x:v>The focus is validation, controlled rejection, exception classification, or fallback after failure.  Specific Action: Only release the full tool stop cause and keep the interrupted status.  root cause Response: Prohibiting length/error/aborted message tool blocks from performing persistence and relocation</x:v>
      </x:c>
      <x:c r="L133" s="2" t="str">
        <x:v>The two sets of labels agree and the original decision is retained; see the original annotations for the action and its association with the root cause.</x:v>
      </x:c>
      <x:c r="M133" s="2" t="str">
        <x:v>https://github.com/openclaw/openclaw/issues/63210</x:v>
      </x:c>
      <x:c r="N133" s="2" t="str">
        <x:v>F03</x:v>
      </x:c>
      <x:c r="O133" s="2" t="str">
        <x:v>Determinate from available evidence</x:v>
      </x:c>
    </x:row>
    <x:row r="134" ht="35" customHeight="1">
      <x:c r="A134" s="2" t="str">
        <x:v>P0065</x:v>
      </x:c>
      <x:c r="B134" s="2" t="str">
        <x:v>openclaw/openclaw</x:v>
      </x:c>
      <x:c r="C134" s="2" t="n">
        <x:v>63742</x:v>
      </x:c>
      <x:c r="D134" s="2" t="str">
        <x:v>C18</x:v>
      </x:c>
      <x:c r="E134" s="2" t="str">
        <x:v>F03</x:v>
      </x:c>
      <x:c r="F134" s="2" t="str">
        <x:v>F03</x:v>
      </x:c>
      <x:c r="G134" s="2" t="str">
        <x:v>F03</x:v>
      </x:c>
      <x:c r="H134" s="2" t="str">
        <x:v>Validation and failure-path hardening</x:v>
      </x:c>
      <x:c r="I134" s="2" t="str">
        <x:v>Partial coverage</x:v>
      </x:c>
      <x:c r="J134" s="2" t="str">
        <x:v>Direct reporting of manifestly ineffective work directories</x:v>
      </x:c>
      <x:c r="K134" s="2" t="str">
        <x:v>The focus is validation, controlled rejection, exception classification, or fallback after failure.  Specific action: Direct reporting of manifestly ineffective work directories.  root cause response: Silent fallback continues to perform after blocking workbook inspection fails</x:v>
      </x:c>
      <x:c r="L134" s="2" t="str">
        <x:v>The two sets of labels agree and the original decision is retained; see the original annotations for the action and its association with the root cause.</x:v>
      </x:c>
      <x:c r="M134" s="2" t="str">
        <x:v>https://github.com/openclaw/openclaw/issues/63742</x:v>
      </x:c>
      <x:c r="N134" s="2" t="str">
        <x:v>F03</x:v>
      </x:c>
      <x:c r="O134" s="2" t="str">
        <x:v>Determinate from available evidence</x:v>
      </x:c>
    </x:row>
    <x:row r="135" ht="35" customHeight="1">
      <x:c r="A135" s="2" t="str">
        <x:v>P0067</x:v>
      </x:c>
      <x:c r="B135" s="2" t="str">
        <x:v>openclaw/openclaw</x:v>
      </x:c>
      <x:c r="C135" s="2" t="n">
        <x:v>67181</x:v>
      </x:c>
      <x:c r="D135" s="2" t="str">
        <x:v>C13</x:v>
      </x:c>
      <x:c r="E135" s="2" t="str">
        <x:v>F03</x:v>
      </x:c>
      <x:c r="F135" s="2" t="str">
        <x:v>F01</x:v>
      </x:c>
      <x:c r="G135" s="2" t="str">
        <x:v>F01</x:v>
      </x:c>
      <x:c r="H135" s="2" t="str">
        <x:v>Representation and usage-contract alignment</x:v>
      </x:c>
      <x:c r="I135" s="2" t="str">
        <x:v>Partial coverage</x:v>
      </x:c>
      <x:c r="J135" s="2" t="str">
        <x:v>The results of the execution determine whether recovery leads to failure.</x:v>
      </x:c>
      <x:c r="K135" s="2" t="str">
        <x:v>Only the results of the success hide internal recovery banners, command success and session recovery processing remain unchanged. </x:v>
      </x:c>
      <x:c r="L135" s="2" t="str">
        <x:v>Integrating task back-checking frozen source material: only after successful results hide internal recovery banners, command success and session reset processing unchanged, is feedback representing a contract.</x:v>
      </x:c>
      <x:c r="M135" s="2" t="str">
        <x:v>https://github.com/openclaw/openclaw/issues/67181</x:v>
      </x:c>
      <x:c r="N135" s="2" t="str">
        <x:v>F01</x:v>
      </x:c>
      <x:c r="O135" s="2" t="str">
        <x:v>Determinate from available evidence</x:v>
      </x:c>
    </x:row>
    <x:row r="136" ht="48.5" customHeight="1">
      <x:c r="A136" s="2" t="str">
        <x:v>P0068</x:v>
      </x:c>
      <x:c r="B136" s="2" t="str">
        <x:v>openclaw/openclaw</x:v>
      </x:c>
      <x:c r="C136" s="2" t="n">
        <x:v>68074</x:v>
      </x:c>
      <x:c r="D136" s="2" t="str">
        <x:v>C15</x:v>
      </x:c>
      <x:c r="E136" s="2" t="str">
        <x:v>F03</x:v>
      </x:c>
      <x:c r="F136" s="2" t="str">
        <x:v>F03</x:v>
      </x:c>
      <x:c r="G136" s="2" t="str">
        <x:v>F03</x:v>
      </x:c>
      <x:c r="H136" s="2" t="str">
        <x:v>Validation and failure-path hardening</x:v>
      </x:c>
      <x:c r="I136" s="2" t="str">
        <x:v>Recorded as implemented in the source data</x:v>
      </x:c>
      <x:c r="J136" s="2" t="str">
        <x:v>Record session ownership of plugins and limit clearing authorization</x:v>
      </x:c>
      <x:c r="K136" s="2" t="str">
        <x:v>The focus is validation, controlled rejection, exception classification, or fallback after failure.  Specific action: Record session ownership of plugins and limit the clearance of authorization.  root cause response: Only the plug-in itself has child session to remove synth client with admin, and replenishes permission without generalizing authorization</x:v>
      </x:c>
      <x:c r="L136" s="2" t="str">
        <x:v>The two sets of labels agree and the original decision is retained; see the original annotations for the action and its association with the root cause.</x:v>
      </x:c>
      <x:c r="M136" s="2" t="str">
        <x:v>https://github.com/openclaw/openclaw/issues/68074</x:v>
      </x:c>
      <x:c r="N136" s="2" t="str">
        <x:v>F03</x:v>
      </x:c>
      <x:c r="O136" s="2" t="str">
        <x:v>Determinate from available evidence</x:v>
      </x:c>
    </x:row>
    <x:row r="137" ht="35" customHeight="1">
      <x:c r="A137" s="2" t="str">
        <x:v>P0069</x:v>
      </x:c>
      <x:c r="B137" s="2" t="str">
        <x:v>openclaw/openclaw</x:v>
      </x:c>
      <x:c r="C137" s="2" t="n">
        <x:v>68113</x:v>
      </x:c>
      <x:c r="D137" s="2" t="str">
        <x:v>C06</x:v>
      </x:c>
      <x:c r="E137" s="2" t="str">
        <x:v>F02</x:v>
      </x:c>
      <x:c r="F137" s="2" t="str">
        <x:v>F02</x:v>
      </x:c>
      <x:c r="G137" s="2" t="str">
        <x:v>F02</x:v>
      </x:c>
      <x:c r="H137" s="2" t="str">
        <x:v>Execution-flow and state correction</x:v>
      </x:c>
      <x:c r="I137" s="2" t="str">
        <x:v>Recorded as implemented in the source data</x:v>
      </x:c>
      <x:c r="J137" s="2" t="str">
        <x:v>To define the universal symbols for cross-module sharing</x:v>
      </x:c>
      <x:c r="K137" s="2" t="str">
        <x:v>Universal Symbol allows dual-module instances to share the same state Map, assigned to F02; assigned to F01 rather than referring to SDK interfaces.  root cause: jiti and ESM instances read the same Map, eliminating activation and routing state forks</x:v>
      </x:c>
      <x:c r="L137" s="2" t="str">
        <x:v>The two sets of labels agree and the original decision is retained; see the original annotations for the action and its association with the root cause.</x:v>
      </x:c>
      <x:c r="M137" s="2" t="str">
        <x:v>https://github.com/openclaw/openclaw/issues/68113</x:v>
      </x:c>
      <x:c r="N137" s="2" t="str">
        <x:v>F02</x:v>
      </x:c>
      <x:c r="O137" s="2" t="str">
        <x:v>Determinate from available evidence</x:v>
      </x:c>
    </x:row>
    <x:row r="138" ht="48.5" customHeight="1">
      <x:c r="A138" s="2" t="str">
        <x:v>P0072</x:v>
      </x:c>
      <x:c r="B138" s="2" t="str">
        <x:v>openclaw/openclaw</x:v>
      </x:c>
      <x:c r="C138" s="2" t="n">
        <x:v>69043</x:v>
      </x:c>
      <x:c r="D138" s="2" t="str">
        <x:v>C05</x:v>
      </x:c>
      <x:c r="E138" s="2" t="str">
        <x:v>F02</x:v>
      </x:c>
      <x:c r="F138" s="2" t="str">
        <x:v>F02</x:v>
      </x:c>
      <x:c r="G138" s="2" t="str">
        <x:v>F02</x:v>
      </x:c>
      <x:c r="H138" s="2" t="str">
        <x:v>Execution-flow and state correction</x:v>
      </x:c>
      <x:c r="I138" s="2" t="str">
        <x:v>Recorded as implemented in the source data</x:v>
      </x:c>
      <x:c r="J138" s="2" t="str">
        <x:v>The document has been delivered to the media and finally filtered for loading</x:v>
      </x:c>
      <x:c r="K138" s="2" t="str">
        <x:v>The focus is state selection, execution progression, scope, or lifecycle management in the normal path.  Concrete action: Record the media delivered and final loading filtered.    root cause Corresponding to: unified media regulation and press URL deduplication, avoid repeating empty text fragments with the description results</x:v>
      </x:c>
      <x:c r="L138" s="2" t="str">
        <x:v>The two sets of labels agree and the original decision is retained; see the original annotations for the action and its association with the root cause.</x:v>
      </x:c>
      <x:c r="M138" s="2" t="str">
        <x:v>https://github.com/openclaw/openclaw/issues/69043</x:v>
      </x:c>
      <x:c r="N138" s="2" t="str">
        <x:v>F02</x:v>
      </x:c>
      <x:c r="O138" s="2" t="str">
        <x:v>Determinate from available evidence</x:v>
      </x:c>
    </x:row>
    <x:row r="139" ht="48.5" customHeight="1">
      <x:c r="A139" s="2" t="str">
        <x:v>P0073</x:v>
      </x:c>
      <x:c r="B139" s="2" t="str">
        <x:v>openclaw/openclaw</x:v>
      </x:c>
      <x:c r="C139" s="2" t="n">
        <x:v>69206</x:v>
      </x:c>
      <x:c r="D139" s="2" t="str">
        <x:v>C10</x:v>
      </x:c>
      <x:c r="E139" s="2" t="str">
        <x:v>F02</x:v>
      </x:c>
      <x:c r="F139" s="2" t="str">
        <x:v>F02</x:v>
      </x:c>
      <x:c r="G139" s="2" t="str">
        <x:v>F02</x:v>
      </x:c>
      <x:c r="H139" s="2" t="str">
        <x:v>Execution-flow and state correction</x:v>
      </x:c>
      <x:c r="I139" s="2" t="str">
        <x:v>Recorded as implemented in the source data</x:v>
      </x:c>
      <x:c r="J139" s="2" t="str">
        <x:v>Registration processor for generated stop commands</x:v>
      </x:c>
      <x:c r="K139" s="2" t="str">
        <x:v>The focus is state selection, execution progression, scope, or lifecycle management in the normal path.  Specific action: Register processor for generated stop commands.  root cause Response: Real updates and persistence to end routing channels, failing clear feedback instead of falling into model chat</x:v>
      </x:c>
      <x:c r="L139" s="2" t="str">
        <x:v>The two sets of labels agree and the original decision is retained; see the original annotations for the action and its association with the root cause.</x:v>
      </x:c>
      <x:c r="M139" s="2" t="str">
        <x:v>https://github.com/openclaw/openclaw/issues/69206</x:v>
      </x:c>
      <x:c r="N139" s="2" t="str">
        <x:v>F02</x:v>
      </x:c>
      <x:c r="O139" s="2" t="str">
        <x:v>Determinate from available evidence</x:v>
      </x:c>
    </x:row>
    <x:row r="140" ht="48.5" customHeight="1">
      <x:c r="A140" s="2" t="str">
        <x:v>P0075</x:v>
      </x:c>
      <x:c r="B140" s="2" t="str">
        <x:v>openclaw/openclaw</x:v>
      </x:c>
      <x:c r="C140" s="2" t="n">
        <x:v>71420</x:v>
      </x:c>
      <x:c r="D140" s="2" t="str">
        <x:v>C21</x:v>
      </x:c>
      <x:c r="E140" s="2" t="str">
        <x:v>F04</x:v>
      </x:c>
      <x:c r="F140" s="2" t="str">
        <x:v>F04</x:v>
      </x:c>
      <x:c r="G140" s="2" t="str">
        <x:v>F04</x:v>
      </x:c>
      <x:c r="H140" s="2" t="str">
        <x:v>Environment and distribution adaptation</x:v>
      </x:c>
      <x:c r="I140" s="2" t="str">
        <x:v>Recorded as implemented in the source data</x:v>
      </x:c>
      <x:c r="J140" s="2" t="str">
        <x:v>Unified can write dependencies on temporary root and cache and retain dependencies</x:v>
      </x:c>
      <x:c r="K140" s="2" t="str">
        <x:v>The focus is platform prerequisites, build dependencies, deployment, or installation/distribution artifacts.  Specific Action: Unified dependency writing and cache and retaining dependency.  root cause response: Make installation repair and loading use the same location to avoid permission failure, dependence on cutting and secondary storage</x:v>
      </x:c>
      <x:c r="L140" s="2" t="str">
        <x:v>The two sets of labels agree and the original decision is retained; see the original annotations for the action and its association with the root cause.</x:v>
      </x:c>
      <x:c r="M140" s="2" t="str">
        <x:v>https://github.com/openclaw/openclaw/issues/71420</x:v>
      </x:c>
      <x:c r="N140" s="2" t="str">
        <x:v>F04</x:v>
      </x:c>
      <x:c r="O140" s="2" t="str">
        <x:v>Determinate from available evidence</x:v>
      </x:c>
    </x:row>
    <x:row r="141" ht="48.5" customHeight="1">
      <x:c r="A141" s="2" t="str">
        <x:v>P0076</x:v>
      </x:c>
      <x:c r="B141" s="2" t="str">
        <x:v>openclaw/openclaw</x:v>
      </x:c>
      <x:c r="C141" s="2" t="n">
        <x:v>71811</x:v>
      </x:c>
      <x:c r="D141" s="2" t="str">
        <x:v>C04</x:v>
      </x:c>
      <x:c r="E141" s="2" t="str">
        <x:v>F01</x:v>
      </x:c>
      <x:c r="F141" s="2" t="str">
        <x:v>F01</x:v>
      </x:c>
      <x:c r="G141" s="2" t="str">
        <x:v>F01</x:v>
      </x:c>
      <x:c r="H141" s="2" t="str">
        <x:v>Representation and usage-contract alignment</x:v>
      </x:c>
      <x:c r="I141" s="2" t="str">
        <x:v>Recorded as implemented in the source data</x:v>
      </x:c>
      <x:c r="J141" s="2" t="str">
        <x:v>Constructed to ACP objectives, typically complete the prompt and clear the transcript packaging</x:v>
      </x:c>
      <x:c r="K141" s="2" t="str">
        <x:v>The focus is correcting content representation, field transmission, static associations, or prompt/usage contracts.  Concrete action: Build a normal completion prompt and clear the transcript packaging according to ACP objectives.  root cause Response: External harness no longer receives internal scripting frames that only the native system can understand</x:v>
      </x:c>
      <x:c r="L141" s="2" t="str">
        <x:v>The two sets of labels agree and the original decision is retained; see the original annotations for the action and its association with the root cause.</x:v>
      </x:c>
      <x:c r="M141" s="2" t="str">
        <x:v>https://github.com/openclaw/openclaw/issues/71811</x:v>
      </x:c>
      <x:c r="N141" s="2" t="str">
        <x:v>F01</x:v>
      </x:c>
      <x:c r="O141" s="2" t="str">
        <x:v>Determinate from available evidence</x:v>
      </x:c>
    </x:row>
    <x:row r="142" ht="48.5" customHeight="1">
      <x:c r="A142" s="2" t="str">
        <x:v>P0077</x:v>
      </x:c>
      <x:c r="B142" s="2" t="str">
        <x:v>openclaw/openclaw</x:v>
      </x:c>
      <x:c r="C142" s="2" t="n">
        <x:v>72037</x:v>
      </x:c>
      <x:c r="D142" s="2" t="str">
        <x:v>C21</x:v>
      </x:c>
      <x:c r="E142" s="2" t="str">
        <x:v>F04</x:v>
      </x:c>
      <x:c r="F142" s="2" t="str">
        <x:v>F04</x:v>
      </x:c>
      <x:c r="G142" s="2" t="str">
        <x:v>F04</x:v>
      </x:c>
      <x:c r="H142" s="2" t="str">
        <x:v>Environment and distribution adaptation</x:v>
      </x:c>
      <x:c r="I142" s="2" t="str">
        <x:v>Partial coverage</x:v>
      </x:c>
      <x:c r="J142" s="2" t="str">
        <x:v>Connect adapters with plugins and prioritize local boot</x:v>
      </x:c>
      <x:c r="K142" s="2" t="str">
        <x:v>The focus is platform prerequisites, build dependencies, deployment, or installation/distribution artifacts.  Specific action: bundle adapters with plugins and prioritize local boot.  root cause Response: Removing paths for each derivative that rely on npx downloads and outdated versions</x:v>
      </x:c>
      <x:c r="L142" s="2" t="str">
        <x:v>The two sets of labels agree and the original decision is retained; see the original annotations for the action and its association with the root cause.</x:v>
      </x:c>
      <x:c r="M142" s="2" t="str">
        <x:v>https://github.com/openclaw/openclaw/issues/72037</x:v>
      </x:c>
      <x:c r="N142" s="2" t="str">
        <x:v>F04</x:v>
      </x:c>
      <x:c r="O142" s="2" t="str">
        <x:v>Determinate from available evidence</x:v>
      </x:c>
    </x:row>
    <x:row r="143" ht="35" customHeight="1">
      <x:c r="A143" s="2" t="str">
        <x:v>P0078</x:v>
      </x:c>
      <x:c r="B143" s="2" t="str">
        <x:v>openclaw/openclaw</x:v>
      </x:c>
      <x:c r="C143" s="2" t="n">
        <x:v>73143</x:v>
      </x:c>
      <x:c r="D143" s="2" t="str">
        <x:v>C19</x:v>
      </x:c>
      <x:c r="E143" s="2" t="str">
        <x:v>F01</x:v>
      </x:c>
      <x:c r="F143" s="2" t="str">
        <x:v>F01</x:v>
      </x:c>
      <x:c r="G143" s="2" t="str">
        <x:v>F01</x:v>
      </x:c>
      <x:c r="H143" s="2" t="str">
        <x:v>Representation and usage-contract alignment</x:v>
      </x:c>
      <x:c r="I143" s="2" t="str">
        <x:v>Partial coverage</x:v>
      </x:c>
      <x:c r="J143" s="2" t="str">
        <x:v>Returning the discontinued Discord SDK compatibility gateway</x:v>
      </x:c>
      <x:c r="K143" s="2" t="str">
        <x:v>The restored discarded export door is API compatible with F01; not installing new dependent entities.  root cause: Reset resolvable input for deep import of old plugins</x:v>
      </x:c>
      <x:c r="L143" s="2" t="str">
        <x:v>The two sets of labels agree and the original decision is retained; see the original annotations for the action and its association with the root cause.</x:v>
      </x:c>
      <x:c r="M143" s="2" t="str">
        <x:v>https://github.com/openclaw/openclaw/issues/73143</x:v>
      </x:c>
      <x:c r="N143" s="2" t="str">
        <x:v>F01</x:v>
      </x:c>
      <x:c r="O143" s="2" t="str">
        <x:v>Determinate from available evidence</x:v>
      </x:c>
    </x:row>
    <x:row r="144" ht="48.5" customHeight="1">
      <x:c r="A144" s="2" t="str">
        <x:v>P0083</x:v>
      </x:c>
      <x:c r="B144" s="2" t="str">
        <x:v>openclaw/openclaw</x:v>
      </x:c>
      <x:c r="C144" s="2" t="n">
        <x:v>75412</x:v>
      </x:c>
      <x:c r="D144" s="2" t="str">
        <x:v>C20</x:v>
      </x:c>
      <x:c r="E144" s="2" t="str">
        <x:v>F02</x:v>
      </x:c>
      <x:c r="F144" s="2" t="str">
        <x:v>F02</x:v>
      </x:c>
      <x:c r="G144" s="2" t="str">
        <x:v>F02</x:v>
      </x:c>
      <x:c r="H144" s="2" t="str">
        <x:v>Execution-flow and state correction</x:v>
      </x:c>
      <x:c r="I144" s="2" t="str">
        <x:v>Recorded as implemented in the source data</x:v>
      </x:c>
      <x:c r="J144" s="2" t="str">
        <x:v>By jumping the tool whitelist to the core build and demarcate cache domain</x:v>
      </x:c>
      <x:c r="K144" s="2" t="str">
        <x:v>The focus is state selection, execution progression, scope, or lifecycle management in the normal path.  Specific action: Jump through core build and demarcate cache domains by tool whitelist.  root cause Response: Running the tool with plug-in memory alone no longer pays for the full core construction cost</x:v>
      </x:c>
      <x:c r="L144" s="2" t="str">
        <x:v>The two sets of labels agree and the original decision is retained; see the original annotations for the action and its association with the root cause.</x:v>
      </x:c>
      <x:c r="M144" s="2" t="str">
        <x:v>https://github.com/openclaw/openclaw/issues/75412</x:v>
      </x:c>
      <x:c r="N144" s="2" t="str">
        <x:v>F02</x:v>
      </x:c>
      <x:c r="O144" s="2" t="str">
        <x:v>Determinate from available evidence</x:v>
      </x:c>
    </x:row>
    <x:row r="145" ht="48.5" customHeight="1">
      <x:c r="A145" s="2" t="str">
        <x:v>P0089</x:v>
      </x:c>
      <x:c r="B145" s="2" t="str">
        <x:v>openclaw/openclaw</x:v>
      </x:c>
      <x:c r="C145" s="2" t="n">
        <x:v>79712</x:v>
      </x:c>
      <x:c r="D145" s="2" t="str">
        <x:v>C13</x:v>
      </x:c>
      <x:c r="E145" s="2" t="str">
        <x:v>F01</x:v>
      </x:c>
      <x:c r="F145" s="2" t="str">
        <x:v>F01</x:v>
      </x:c>
      <x:c r="G145" s="2" t="str">
        <x:v>F01</x:v>
      </x:c>
      <x:c r="H145" s="2" t="str">
        <x:v>Representation and usage-contract alignment</x:v>
      </x:c>
      <x:c r="I145" s="2" t="str">
        <x:v>Recorded as implemented in the source data</x:v>
      </x:c>
      <x:c r="J145" s="2" t="str">
        <x:v>Cross-border error indicates the available container path</x:v>
      </x:c>
      <x:c r="K145" s="2" t="str">
        <x:v>The focus is correcting content representation, field transmission, static associations, or prompt/usage contracts.  Specific action: Cross-border error gives an indication of the available container path.    root cause Corresponding: Incorporating the actual container root into the feedback to help the model stop conjecturing about duplication of host path invocation</x:v>
      </x:c>
      <x:c r="L145" s="2" t="str">
        <x:v>The two sets of labels agree and the original decision is retained; see the original annotations for the action and its association with the root cause.</x:v>
      </x:c>
      <x:c r="M145" s="2" t="str">
        <x:v>https://github.com/openclaw/openclaw/issues/79712</x:v>
      </x:c>
      <x:c r="N145" s="2" t="str">
        <x:v>F01</x:v>
      </x:c>
      <x:c r="O145" s="2" t="str">
        <x:v>Determinate from available evidence</x:v>
      </x:c>
    </x:row>
    <x:row r="146" ht="48.5" customHeight="1">
      <x:c r="A146" s="2" t="str">
        <x:v>P0093</x:v>
      </x:c>
      <x:c r="B146" s="2" t="str">
        <x:v>openclaw/openclaw</x:v>
      </x:c>
      <x:c r="C146" s="2" t="n">
        <x:v>83562</x:v>
      </x:c>
      <x:c r="D146" s="2" t="str">
        <x:v>C16</x:v>
      </x:c>
      <x:c r="E146" s="2" t="str">
        <x:v>F01</x:v>
      </x:c>
      <x:c r="F146" s="2" t="str">
        <x:v>F01</x:v>
      </x:c>
      <x:c r="G146" s="2" t="str">
        <x:v>F01</x:v>
      </x:c>
      <x:c r="H146" s="2" t="str">
        <x:v>Representation and usage-contract alignment</x:v>
      </x:c>
      <x:c r="I146" s="2" t="str">
        <x:v>Partial coverage</x:v>
      </x:c>
      <x:c r="J146" s="2" t="str">
        <x:v>Unified Media Paths Prioritize customized analytics HOME</x:v>
      </x:c>
      <x:c r="K146" s="2" t="str">
        <x:v>The focus is correcting content representation, field transmission, static associations, or prompt/usage contracts.  Specific action: Unifying media paths by prioritizing custom HOME.  root cause response: Let the output position follow the same OPENCLAW_HOME configuration with permission for roots</x:v>
      </x:c>
      <x:c r="L146" s="2" t="str">
        <x:v>The two sets of labels agree and the original decision is retained; see the original annotations for the action and its association with the root cause.</x:v>
      </x:c>
      <x:c r="M146" s="2" t="str">
        <x:v>https://github.com/openclaw/openclaw/issues/83562</x:v>
      </x:c>
      <x:c r="N146" s="2" t="str">
        <x:v>F01</x:v>
      </x:c>
      <x:c r="O146" s="2" t="str">
        <x:v>Determinate from available evidence</x:v>
      </x:c>
    </x:row>
    <x:row r="147" ht="48.5" customHeight="1">
      <x:c r="A147" s="2" t="str">
        <x:v>P0095</x:v>
      </x:c>
      <x:c r="B147" s="2" t="str">
        <x:v>openclaw/openclaw</x:v>
      </x:c>
      <x:c r="C147" s="2" t="n">
        <x:v>84715</x:v>
      </x:c>
      <x:c r="D147" s="2" t="str">
        <x:v>C21</x:v>
      </x:c>
      <x:c r="E147" s="2" t="str">
        <x:v>F04</x:v>
      </x:c>
      <x:c r="F147" s="2" t="str">
        <x:v>F04</x:v>
      </x:c>
      <x:c r="G147" s="2" t="str">
        <x:v>F04</x:v>
      </x:c>
      <x:c r="H147" s="2" t="str">
        <x:v>Environment and distribution adaptation</x:v>
      </x:c>
      <x:c r="I147" s="2" t="str">
        <x:v>Recorded as implemented in the source data</x:v>
      </x:c>
      <x:c r="J147" s="2" t="str">
        <x:v>Update Ends rebuild plugins host links and health audits</x:v>
      </x:c>
      <x:c r="K147" s="2" t="str">
        <x:v>The focus is platform prerequisites, build dependencies, deployment, or installation/distribution artifacts.  Specific Action: Update and Restore Plugin Host Links and Audit Health.  root cause response: Replenish the peer link that has been removed, refusing to install the plugins that are still damaged</x:v>
      </x:c>
      <x:c r="L147" s="2" t="str">
        <x:v>The two sets of labels agree and the original decision is retained; see the original annotations for the action and its association with the root cause.</x:v>
      </x:c>
      <x:c r="M147" s="2" t="str">
        <x:v>https://github.com/openclaw/openclaw/issues/84715</x:v>
      </x:c>
      <x:c r="N147" s="2" t="str">
        <x:v>F04</x:v>
      </x:c>
      <x:c r="O147" s="2" t="str">
        <x:v>Determinate from available evidence</x:v>
      </x:c>
    </x:row>
    <x:row r="148" ht="35" customHeight="1">
      <x:c r="A148" s="2" t="str">
        <x:v>P0096</x:v>
      </x:c>
      <x:c r="B148" s="2" t="str">
        <x:v>openclaw/openclaw</x:v>
      </x:c>
      <x:c r="C148" s="2" t="n">
        <x:v>85442</x:v>
      </x:c>
      <x:c r="D148" s="2" t="str">
        <x:v>C13</x:v>
      </x:c>
      <x:c r="E148" s="2" t="str">
        <x:v>F01</x:v>
      </x:c>
      <x:c r="F148" s="2" t="str">
        <x:v>F03</x:v>
      </x:c>
      <x:c r="G148" s="2" t="str">
        <x:v>F03</x:v>
      </x:c>
      <x:c r="H148" s="2" t="str">
        <x:v>Validation and failure-path hardening</x:v>
      </x:c>
      <x:c r="I148" s="2" t="str">
        <x:v>Recorded as implemented in the source data</x:v>
      </x:c>
      <x:c r="J148" s="2" t="str">
        <x:v>Allowing agents to block a report with the first line of failures</x:v>
      </x:c>
      <x:c r="K148" s="2" t="str">
        <x:v>Subsequent AUTOMATION_FAILED marking made the run truly judged to be error and alerted, falling under the failure classification; early structured refusal patches covered only partly.</x:v>
      </x:c>
      <x:c r="L148" s="2" t="str">
        <x:v>Integration task back-check freeze source material: subsequent AUTOMATION_FAILED marking makes the run truly judged as error and alerted, belonging to a failure classification; early structured refusal patches cover only part of.</x:v>
      </x:c>
      <x:c r="M148" s="2" t="str">
        <x:v>https://github.com/openclaw/openclaw/issues/85442</x:v>
      </x:c>
      <x:c r="N148" s="2" t="str">
        <x:v>F03</x:v>
      </x:c>
      <x:c r="O148" s="2" t="str">
        <x:v>Determinate from available evidence</x:v>
      </x:c>
    </x:row>
    <x:row r="149" ht="48.5" customHeight="1">
      <x:c r="A149" s="2" t="str">
        <x:v>P0099</x:v>
      </x:c>
      <x:c r="B149" s="2" t="str">
        <x:v>openclaw/openclaw</x:v>
      </x:c>
      <x:c r="C149" s="2" t="n">
        <x:v>90313</x:v>
      </x:c>
      <x:c r="D149" s="2" t="str">
        <x:v>C09</x:v>
      </x:c>
      <x:c r="E149" s="2" t="str">
        <x:v>F02</x:v>
      </x:c>
      <x:c r="F149" s="2" t="str">
        <x:v>F02</x:v>
      </x:c>
      <x:c r="G149" s="2" t="str">
        <x:v>F02</x:v>
      </x:c>
      <x:c r="H149" s="2" t="str">
        <x:v>Execution-flow and state correction</x:v>
      </x:c>
      <x:c r="I149" s="2" t="str">
        <x:v>Recorded as implemented in the source data</x:v>
      </x:c>
      <x:c r="J149" s="2" t="str">
        <x:v>Filter the timed content by session and skip archived copies</x:v>
      </x:c>
      <x:c r="K149" s="2" t="str">
        <x:v>The focus is state selection, execution progression, scope, or lifecycle management in the normal path.  Concrete action: Filter timed content by session bloodline and skip archived copies.  root cause response: Recruit to identify cron descendants and eliminate re-recording, avoid contamination of dream content</x:v>
      </x:c>
      <x:c r="L149" s="2" t="str">
        <x:v>The two sets of labels agree and the original decision is retained; see the original annotations for the action and its association with the root cause.</x:v>
      </x:c>
      <x:c r="M149" s="2" t="str">
        <x:v>https://github.com/openclaw/openclaw/issues/90313</x:v>
      </x:c>
      <x:c r="N149" s="2" t="str">
        <x:v>F02</x:v>
      </x:c>
      <x:c r="O149" s="2" t="str">
        <x:v>Determinate from available evidence</x:v>
      </x:c>
    </x:row>
    <x:row r="150" ht="35" customHeight="1">
      <x:c r="A150" s="2" t="str">
        <x:v>P0100</x:v>
      </x:c>
      <x:c r="B150" s="2" t="str">
        <x:v>openclaw/openclaw</x:v>
      </x:c>
      <x:c r="C150" s="2" t="n">
        <x:v>90925</x:v>
      </x:c>
      <x:c r="D150" s="2" t="str">
        <x:v>C04</x:v>
      </x:c>
      <x:c r="E150" s="2" t="str">
        <x:v>F02</x:v>
      </x:c>
      <x:c r="F150" s="2" t="str">
        <x:v>F02</x:v>
      </x:c>
      <x:c r="G150" s="2" t="str">
        <x:v>F02</x:v>
      </x:c>
      <x:c r="H150" s="2" t="str">
        <x:v>Execution-flow and state correction</x:v>
      </x:c>
      <x:c r="I150" s="2" t="str">
        <x:v>Partial coverage</x:v>
      </x:c>
      <x:c r="J150" s="2" t="str">
        <x:v>Compresses harness by authentication and pre-loads plugins</x:v>
      </x:c>
      <x:c r="K150" s="2" t="str">
        <x:v>Select the correct harness according to the prepared authentication without requiring a core default, and choose the dominant operating route F02.    root cause Corresponds: Remove forced core running, allow OAuth Select to hold a certificate Codex</x:v>
      </x:c>
      <x:c r="L150" s="2" t="str">
        <x:v>The two sets of labels agree and the original decision is retained; see the original annotations for the action and its association with the root cause.</x:v>
      </x:c>
      <x:c r="M150" s="2" t="str">
        <x:v>https://github.com/openclaw/openclaw/issues/90925</x:v>
      </x:c>
      <x:c r="N150" s="2" t="str">
        <x:v>F02</x:v>
      </x:c>
      <x:c r="O150" s="2" t="str">
        <x:v>Determinate from available evidence</x:v>
      </x:c>
    </x:row>
    <x:row r="151" ht="48.5" customHeight="1">
      <x:c r="A151" s="2" t="str">
        <x:v>P0102</x:v>
      </x:c>
      <x:c r="B151" s="2" t="str">
        <x:v>openclaw/openclaw</x:v>
      </x:c>
      <x:c r="C151" s="2" t="n">
        <x:v>91224</x:v>
      </x:c>
      <x:c r="D151" s="2" t="str">
        <x:v>C13</x:v>
      </x:c>
      <x:c r="E151" s="2" t="str">
        <x:v>F03</x:v>
      </x:c>
      <x:c r="F151" s="2" t="str">
        <x:v>F03</x:v>
      </x:c>
      <x:c r="G151" s="2" t="str">
        <x:v>F03</x:v>
      </x:c>
      <x:c r="H151" s="2" t="str">
        <x:v>Validation and failure-path hardening</x:v>
      </x:c>
      <x:c r="I151" s="2" t="str">
        <x:v>Candidate change not merged</x:v>
      </x:c>
      <x:c r="J151" s="2" t="str">
        <x:v>Intersectional sources with existing evidence to suppress internal feedback</x:v>
      </x:c>
      <x:c r="K151" s="2" t="str">
        <x:v>The focus is validation, controlled rejection, exception classification, or fallback after failure.  Concrete action: Suppress internal feedback based on cross-session sources and existing evidence of delivery.  root cause Response: Candidates Filtering the External Borders to meet the requirements of pure text control response</x:v>
      </x:c>
      <x:c r="L151" s="2" t="str">
        <x:v>The two sets of labels agree and the original decision is retained; see the original annotations for the action and its association with the root cause.</x:v>
      </x:c>
      <x:c r="M151" s="2" t="str">
        <x:v>https://github.com/openclaw/openclaw/issues/91224</x:v>
      </x:c>
      <x:c r="N151" s="2" t="str">
        <x:v>F03</x:v>
      </x:c>
      <x:c r="O151" s="2" t="str">
        <x:v>Determinate from available evidence</x:v>
      </x:c>
    </x:row>
    <x:row r="152" ht="48.5" customHeight="1">
      <x:c r="A152" s="2" t="str">
        <x:v>P0104</x:v>
      </x:c>
      <x:c r="B152" s="2" t="str">
        <x:v>openclaw/openclaw</x:v>
      </x:c>
      <x:c r="C152" s="2" t="n">
        <x:v>94800</x:v>
      </x:c>
      <x:c r="D152" s="2" t="str">
        <x:v>C05</x:v>
      </x:c>
      <x:c r="E152" s="2" t="str">
        <x:v>F04</x:v>
      </x:c>
      <x:c r="F152" s="2" t="str">
        <x:v>F04</x:v>
      </x:c>
      <x:c r="G152" s="2" t="str">
        <x:v>F04</x:v>
      </x:c>
      <x:c r="H152" s="2" t="str">
        <x:v>Environment and distribution adaptation</x:v>
      </x:c>
      <x:c r="I152" s="2" t="str">
        <x:v>Recorded as implemented in the source data</x:v>
      </x:c>
      <x:c r="J152" s="2" t="str">
        <x:v>Filtering conflicts before creating containers uploads and notifies the police</x:v>
      </x:c>
      <x:c r="K152" s="2" t="str">
        <x:v>Filter user bind with a container mount layout constructed without a repeatable objective, to the environmentally adapted F04; reserving read-only security variables as the decision limit.  root cause response: Reserving authority to read Skill uploads only after standardizing container targets, avoiding repeat uploads</x:v>
      </x:c>
      <x:c r="L152" s="2" t="str">
        <x:v>The two sets of labels agree and the original decision is retained; see the original annotations for the action and its association with the root cause.</x:v>
      </x:c>
      <x:c r="M152" s="2" t="str">
        <x:v>https://github.com/openclaw/openclaw/issues/94800</x:v>
      </x:c>
      <x:c r="N152" s="2" t="str">
        <x:v>F04</x:v>
      </x:c>
      <x:c r="O152" s="2" t="str">
        <x:v>Determinate from available evidence</x:v>
      </x:c>
    </x:row>
    <x:row r="153" ht="48.5" customHeight="1">
      <x:c r="A153" s="2" t="str">
        <x:v>P0106</x:v>
      </x:c>
      <x:c r="B153" s="2" t="str">
        <x:v>openclaw/openclaw</x:v>
      </x:c>
      <x:c r="C153" s="2" t="n">
        <x:v>102628</x:v>
      </x:c>
      <x:c r="D153" s="2" t="str">
        <x:v>C08</x:v>
      </x:c>
      <x:c r="E153" s="2" t="str">
        <x:v>F01</x:v>
      </x:c>
      <x:c r="F153" s="2" t="str">
        <x:v>F01</x:v>
      </x:c>
      <x:c r="G153" s="2" t="str">
        <x:v>F01</x:v>
      </x:c>
      <x:c r="H153" s="2" t="str">
        <x:v>Representation and usage-contract alignment</x:v>
      </x:c>
      <x:c r="I153" s="2" t="str">
        <x:v>Recorded as implemented in the source data</x:v>
      </x:c>
      <x:c r="J153" s="2" t="str">
        <x:v>Single-entity agent communication and team identity framework</x:v>
      </x:c>
      <x:c r="K153" s="2" t="str">
        <x:v>The focus is correcting content representation, field transmission, static associations, or prompt/usage contracts.  Specific action: Single-Agent Communication and Team Identity Framework.  root cause Response: Use neutral status abstract when there is no subagent to avoid fictitious subordinate tasks</x:v>
      </x:c>
      <x:c r="L153" s="2" t="str">
        <x:v>The two sets of labels agree and the original decision is retained; see the original annotations for the action and its association with the root cause.</x:v>
      </x:c>
      <x:c r="M153" s="2" t="str">
        <x:v>https://github.com/openclaw/openclaw/issues/102628</x:v>
      </x:c>
      <x:c r="N153" s="2" t="str">
        <x:v>F01</x:v>
      </x:c>
      <x:c r="O153" s="2" t="str">
        <x:v>Determinate from available evidence</x:v>
      </x:c>
    </x:row>
    <x:row r="154" ht="35" customHeight="1">
      <x:c r="A154" s="2" t="str">
        <x:v>P0111</x:v>
      </x:c>
      <x:c r="B154" s="2" t="str">
        <x:v>openclaw/openclaw</x:v>
      </x:c>
      <x:c r="C154" s="2" t="n">
        <x:v>112427</x:v>
      </x:c>
      <x:c r="D154" s="2" t="str">
        <x:v>C11</x:v>
      </x:c>
      <x:c r="E154" s="2" t="str">
        <x:v>F04</x:v>
      </x:c>
      <x:c r="F154" s="2" t="str">
        <x:v>F04</x:v>
      </x:c>
      <x:c r="G154" s="2" t="str">
        <x:v>F04</x:v>
      </x:c>
      <x:c r="H154" s="2" t="str">
        <x:v>Environment and distribution adaptation</x:v>
      </x:c>
      <x:c r="I154" s="2" t="str">
        <x:v>Partial coverage</x:v>
      </x:c>
      <x:c r="J154" s="2" t="str">
        <x:v>fallback disable native ESM loading by converting source code</x:v>
      </x:c>
      <x:c r="K154" s="2" t="str">
        <x:v>Target Node24 Original ESM Load compatibility fallback Configure Revisions, Returns F04; not presumed missing dist The pieces have been fixed.    root cause Corresponding: Avoid synchronisation require The one that is still worth SDK Activate Node24 race condition</x:v>
      </x:c>
      <x:c r="L154" s="2" t="str">
        <x:v>The two sets of labels agree and the original decision is retained; see the original annotations for the action and its association with the root cause.</x:v>
      </x:c>
      <x:c r="M154" s="2" t="str">
        <x:v>https://github.com/openclaw/openclaw/issues/112427</x:v>
      </x:c>
      <x:c r="N154" s="2" t="str">
        <x:v>F04</x:v>
      </x:c>
      <x:c r="O154" s="2" t="str">
        <x:v>Determinate from available evidence</x:v>
      </x:c>
    </x:row>
    <x:row r="155" ht="48.5" customHeight="1">
      <x:c r="A155" s="2" t="str">
        <x:v>P0113</x:v>
      </x:c>
      <x:c r="B155" s="2" t="str">
        <x:v>openclaw/openclaw</x:v>
      </x:c>
      <x:c r="C155" s="2" t="n">
        <x:v>117453</x:v>
      </x:c>
      <x:c r="D155" s="2" t="str">
        <x:v>C24</x:v>
      </x:c>
      <x:c r="E155" s="2" t="str">
        <x:v>F02</x:v>
      </x:c>
      <x:c r="F155" s="2" t="str">
        <x:v>F02</x:v>
      </x:c>
      <x:c r="G155" s="2" t="str">
        <x:v>F02</x:v>
      </x:c>
      <x:c r="H155" s="2" t="str">
        <x:v>Execution-flow and state correction</x:v>
      </x:c>
      <x:c r="I155" s="2" t="str">
        <x:v>Partial coverage</x:v>
      </x:c>
      <x:c r="J155" s="2" t="str">
        <x:v>Orphans clean up, settle down and retire their owners</x:v>
      </x:c>
      <x:c r="K155" s="2" t="str">
        <x:v>The focus is state selection, execution progression, scope, or lifecycle management in the normal path.  Concrete action: Orphan clearance, settlement of tasks and retirement of owners.  root cause Response: Keeping persistent missions in check to avoid cross-resumption of continuous operation</x:v>
      </x:c>
      <x:c r="L155" s="2" t="str">
        <x:v>The two sets of labels agree and the original decision is retained; see the original annotations for the action and its association with the root cause.</x:v>
      </x:c>
      <x:c r="M155" s="2" t="str">
        <x:v>https://github.com/openclaw/openclaw/issues/117453</x:v>
      </x:c>
      <x:c r="N155" s="2" t="str">
        <x:v>F02</x:v>
      </x:c>
      <x:c r="O155" s="2" t="str">
        <x:v>Determinate from available evidence</x:v>
      </x:c>
    </x:row>
    <x:row r="156" ht="48.5" customHeight="1">
      <x:c r="A156" s="2" t="str">
        <x:v>P0116</x:v>
      </x:c>
      <x:c r="B156" s="2" t="str">
        <x:v>openclaw/openclaw</x:v>
      </x:c>
      <x:c r="C156" s="2" t="n">
        <x:v>127244</x:v>
      </x:c>
      <x:c r="D156" s="2" t="str">
        <x:v>C21</x:v>
      </x:c>
      <x:c r="E156" s="2" t="str">
        <x:v>F04</x:v>
      </x:c>
      <x:c r="F156" s="2" t="str">
        <x:v>F04</x:v>
      </x:c>
      <x:c r="G156" s="2" t="str">
        <x:v>F04</x:v>
      </x:c>
      <x:c r="H156" s="2" t="str">
        <x:v>Environment and distribution adaptation</x:v>
      </x:c>
      <x:c r="I156" s="2" t="str">
        <x:v>Recorded as implemented in the source data</x:v>
      </x:c>
      <x:c r="J156" s="2" t="str">
        <x:v>Hosted installation delay submitted and failed rollback before perpetuation</x:v>
      </x:c>
      <x:c r="K156" s="2" t="str">
        <x:v>Clearly belongs to the management of installation load release/backup/rollback matters, excluding F04 under draft rules and not F02 under general database consistency.  root cause response: Loading and recording the same transaction, save successfully and delete old backup</x:v>
      </x:c>
      <x:c r="L156" s="2" t="str">
        <x:v>The two sets of labels agree and the original decision is retained; see the original annotations for the action and its association with the root cause.</x:v>
      </x:c>
      <x:c r="M156" s="2" t="str">
        <x:v>https://github.com/openclaw/openclaw/issues/127244</x:v>
      </x:c>
      <x:c r="N156" s="2" t="str">
        <x:v>F04</x:v>
      </x:c>
      <x:c r="O156" s="2" t="str">
        <x:v>Determinate from available evidence</x:v>
      </x:c>
    </x:row>
    <x:row r="157" ht="48.5" customHeight="1">
      <x:c r="A157" s="2" t="str">
        <x:v>P0117</x:v>
      </x:c>
      <x:c r="B157" s="2" t="str">
        <x:v>openclaw/openclaw</x:v>
      </x:c>
      <x:c r="C157" s="2" t="n">
        <x:v>131501</x:v>
      </x:c>
      <x:c r="D157" s="2" t="str">
        <x:v>C11</x:v>
      </x:c>
      <x:c r="E157" s="2" t="str">
        <x:v>F02</x:v>
      </x:c>
      <x:c r="F157" s="2" t="str">
        <x:v>F02</x:v>
      </x:c>
      <x:c r="G157" s="2" t="str">
        <x:v>F02</x:v>
      </x:c>
      <x:c r="H157" s="2" t="str">
        <x:v>Execution-flow and state correction</x:v>
      </x:c>
      <x:c r="I157" s="2" t="str">
        <x:v>Recorded as implemented in the source data</x:v>
      </x:c>
      <x:c r="J157" s="2" t="str">
        <x:v>A gateway context analyzer that operates a binding band to the child</x:v>
      </x:c>
      <x:c r="K157" s="2" t="str">
        <x:v>The focus is state selection, execution progression, scope, or lifecycle management in the normal path.  Concrete action: A gateway context analyzer that runs a child to bind a string.  root cause Response: Complete clearance of disconnected access to the station scope can still be found at the relevant gateway, avoiding recent instances of mis-binding</x:v>
      </x:c>
      <x:c r="L157" s="2" t="str">
        <x:v>The two sets of labels agree and the original decision is retained; see the original annotations for the action and its association with the root cause.</x:v>
      </x:c>
      <x:c r="M157" s="2" t="str">
        <x:v>https://github.com/openclaw/openclaw/issues/131501</x:v>
      </x:c>
      <x:c r="N157" s="2" t="str">
        <x:v>F02</x:v>
      </x:c>
      <x:c r="O157" s="2" t="str">
        <x:v>Determinate from available evidence</x:v>
      </x:c>
    </x:row>
    <x:row r="158" ht="48.5" customHeight="1">
      <x:c r="A158" s="2" t="str">
        <x:v>P0118</x:v>
      </x:c>
      <x:c r="B158" s="2" t="str">
        <x:v>openclaw/openclaw</x:v>
      </x:c>
      <x:c r="C158" s="2" t="n">
        <x:v>137643</x:v>
      </x:c>
      <x:c r="D158" s="2" t="str">
        <x:v>C20</x:v>
      </x:c>
      <x:c r="E158" s="2" t="str">
        <x:v>F02</x:v>
      </x:c>
      <x:c r="F158" s="2" t="str">
        <x:v>F02</x:v>
      </x:c>
      <x:c r="G158" s="2" t="str">
        <x:v>F02</x:v>
      </x:c>
      <x:c r="H158" s="2" t="str">
        <x:v>Execution-flow and state correction</x:v>
      </x:c>
      <x:c r="I158" s="2" t="str">
        <x:v>Recorded as implemented in the source data</x:v>
      </x:c>
      <x:c r="J158" s="2" t="str">
        <x:v>Notice deadline for receipt and non-running execution only</x:v>
      </x:c>
      <x:c r="K158" s="2" t="str">
        <x:v>The focus is state selection, execution progression, scope, or lifecycle management in the normal path.  Specific Action: Notice deadline for acceptance and non-running execution only.  root cause Response: Rearming the timer at the start of execution to allow legitimate long-range running under its own operating budget control</x:v>
      </x:c>
      <x:c r="L158" s="2" t="str">
        <x:v>The two sets of labels agree and the original decision is retained; see the original annotations for the action and its association with the root cause.</x:v>
      </x:c>
      <x:c r="M158" s="2" t="str">
        <x:v>https://github.com/openclaw/openclaw/issues/137643</x:v>
      </x:c>
      <x:c r="N158" s="2" t="str">
        <x:v>F02</x:v>
      </x:c>
      <x:c r="O158" s="2" t="str">
        <x:v>Determinate from available evidence</x:v>
      </x:c>
    </x:row>
    <x:row r="159" ht="48.5" customHeight="1">
      <x:c r="A159" s="2" t="str">
        <x:v>P0119</x:v>
      </x:c>
      <x:c r="B159" s="2" t="str">
        <x:v>openclaw/openclaw</x:v>
      </x:c>
      <x:c r="C159" s="2" t="n">
        <x:v>138376</x:v>
      </x:c>
      <x:c r="D159" s="2" t="str">
        <x:v>C10</x:v>
      </x:c>
      <x:c r="E159" s="2" t="str">
        <x:v>F02</x:v>
      </x:c>
      <x:c r="F159" s="2" t="str">
        <x:v>F02</x:v>
      </x:c>
      <x:c r="G159" s="2" t="str">
        <x:v>F02</x:v>
      </x:c>
      <x:c r="H159" s="2" t="str">
        <x:v>Execution-flow and state correction</x:v>
      </x:c>
      <x:c r="I159" s="2" t="str">
        <x:v>Recorded as implemented in the source data</x:v>
      </x:c>
      <x:c r="J159" s="2" t="str">
        <x:v>Embedded apparent yield batch sends wake-up and take over suspended operation</x:v>
      </x:c>
      <x:c r="K159" s="2" t="str">
        <x:v>The focus is state selection, execution progression, scope, or lifecycle management in the normal path.  Specific action: Embedded yield batch dispatch to wake up and take over suspension of operation.  root cause response: Remove paths that are roughly deep-cleaned to restore nested ordering by specially labeled source</x:v>
      </x:c>
      <x:c r="L159" s="2" t="str">
        <x:v>The two sets of labels agree and the original decision is retained; see the original annotations for the action and its association with the root cause.</x:v>
      </x:c>
      <x:c r="M159" s="2" t="str">
        <x:v>https://github.com/openclaw/openclaw/issues/138376</x:v>
      </x:c>
      <x:c r="N159" s="2" t="str">
        <x:v>F02</x:v>
      </x:c>
      <x:c r="O159" s="2" t="str">
        <x:v>Determinate from available evidence</x:v>
      </x:c>
    </x:row>
    <x:row r="160" ht="35" customHeight="1">
      <x:c r="A160" s="2" t="str">
        <x:v>P0120</x:v>
      </x:c>
      <x:c r="B160" s="2" t="str">
        <x:v>openclaw/openclaw</x:v>
      </x:c>
      <x:c r="C160" s="2" t="n">
        <x:v>139187</x:v>
      </x:c>
      <x:c r="D160" s="2" t="str">
        <x:v>C24</x:v>
      </x:c>
      <x:c r="E160" s="2" t="str">
        <x:v>F03</x:v>
      </x:c>
      <x:c r="F160" s="2" t="str">
        <x:v>F02</x:v>
      </x:c>
      <x:c r="G160" s="2" t="str">
        <x:v>F02</x:v>
      </x:c>
      <x:c r="H160" s="2" t="str">
        <x:v>Execution-flow and state correction</x:v>
      </x:c>
      <x:c r="I160" s="2" t="str">
        <x:v>Recorded as implemented in the source data</x:v>
      </x:c>
      <x:c r="J160" s="2" t="str">
        <x:v>Extract pure classification for read-only statistics by doctor</x:v>
      </x:c>
      <x:c r="K160" s="2" t="str">
        <x:v>Extract pure classification functions by avoiding write-to-read paths and reconstruct normal read-only checking processes rather than adding new anomalous rejections.</x:v>
      </x:c>
      <x:c r="L160" s="2" t="str">
        <x:v>Integrating task back-checking freeze source material: extracting pure classification functions by avoiding writeable reading paths, rebuilding normal read-only checking processes, rather than adding new anomalous rejections.</x:v>
      </x:c>
      <x:c r="M160" s="2" t="str">
        <x:v>https://github.com/openclaw/openclaw/issues/139187</x:v>
      </x:c>
      <x:c r="N160" s="2" t="str">
        <x:v>F02</x:v>
      </x:c>
      <x:c r="O160" s="2" t="str">
        <x:v>Determinate from available evidence</x:v>
      </x:c>
    </x:row>
    <x:row r="161" ht="48.5" customHeight="1">
      <x:c r="A161" s="2" t="str">
        <x:v>P0121</x:v>
      </x:c>
      <x:c r="B161" s="2" t="str">
        <x:v>openclaw/openclaw</x:v>
      </x:c>
      <x:c r="C161" s="2" t="n">
        <x:v>142794</x:v>
      </x:c>
      <x:c r="D161" s="2" t="str">
        <x:v>C03</x:v>
      </x:c>
      <x:c r="E161" s="2" t="str">
        <x:v>F01</x:v>
      </x:c>
      <x:c r="F161" s="2" t="str">
        <x:v>F01</x:v>
      </x:c>
      <x:c r="G161" s="2" t="str">
        <x:v>F01</x:v>
      </x:c>
      <x:c r="H161" s="2" t="str">
        <x:v>Representation and usage-contract alignment</x:v>
      </x:c>
      <x:c r="I161" s="2" t="str">
        <x:v>Recorded as implemented in the source data</x:v>
      </x:c>
      <x:c r="J161" s="2" t="str">
        <x:v>The first round of millisecond timeout transmissions across protocol chains</x:v>
      </x:c>
      <x:c r="K161" s="2" t="str">
        <x:v>Both schema and invocation chains are lost for each run of the budget value, with the core being the F01 field-transfer; there is no change in timeout strategy. root cause Response: Send the visible child session requested budget from spawn to the actual operator instead of just registering</x:v>
      </x:c>
      <x:c r="L161" s="2" t="str">
        <x:v>The two sets of labels agree and the original decision is retained; see the original annotations for the action and its association with the root cause.</x:v>
      </x:c>
      <x:c r="M161" s="2" t="str">
        <x:v>https://github.com/openclaw/openclaw/issues/142794</x:v>
      </x:c>
      <x:c r="N161" s="2" t="str">
        <x:v>F01</x:v>
      </x:c>
      <x:c r="O161" s="2" t="str">
        <x:v>Determinate from available evidence</x:v>
      </x:c>
    </x:row>
    <x:row r="162" ht="48.5" customHeight="1">
      <x:c r="A162" s="2" t="str">
        <x:v>P0122</x:v>
      </x:c>
      <x:c r="B162" s="2" t="str">
        <x:v>openclaw/openclaw</x:v>
      </x:c>
      <x:c r="C162" s="2" t="n">
        <x:v>144522</x:v>
      </x:c>
      <x:c r="D162" s="2" t="str">
        <x:v>C03</x:v>
      </x:c>
      <x:c r="E162" s="2" t="str">
        <x:v>F02</x:v>
      </x:c>
      <x:c r="F162" s="2" t="str">
        <x:v>F02</x:v>
      </x:c>
      <x:c r="G162" s="2" t="str">
        <x:v>F02</x:v>
      </x:c>
      <x:c r="H162" s="2" t="str">
        <x:v>Execution-flow and state correction</x:v>
      </x:c>
      <x:c r="I162" s="2" t="str">
        <x:v>Candidate change not merged</x:v>
      </x:c>
      <x:c r="J162" s="2" t="str">
        <x:v>Save oral confirmation and follow up retry with the original parameters</x:v>
      </x:c>
      <x:c r="K162" s="2" t="str">
        <x:v>Maintaining both confirmationId and original parameters to continue is challenging, leading to lifecycle confirmation restoration of F02; no relaxation of authorization requirements.    root cause Counterpart: Jean confirmationId &amp; Parameter Fingerprint Cross Client retry Conformity</x:v>
      </x:c>
      <x:c r="L162" s="2" t="str">
        <x:v>The two sets of labels agree and the original decision is retained; see the original annotations for the action and its association with the root cause.</x:v>
      </x:c>
      <x:c r="M162" s="2" t="str">
        <x:v>https://github.com/openclaw/openclaw/issues/144522</x:v>
      </x:c>
      <x:c r="N162" s="2" t="str">
        <x:v>F02</x:v>
      </x:c>
      <x:c r="O162" s="2" t="str">
        <x:v>Determinate from available evidence</x:v>
      </x:c>
    </x:row>
    <x:row r="163" ht="48.5" customHeight="1">
      <x:c r="A163" s="2" t="str">
        <x:v>P0123</x:v>
      </x:c>
      <x:c r="B163" s="2" t="str">
        <x:v>openclaw/openclaw</x:v>
      </x:c>
      <x:c r="C163" s="2" t="n">
        <x:v>149457</x:v>
      </x:c>
      <x:c r="D163" s="2" t="str">
        <x:v>C01</x:v>
      </x:c>
      <x:c r="E163" s="2" t="str">
        <x:v>F01</x:v>
      </x:c>
      <x:c r="F163" s="2" t="str">
        <x:v>F01</x:v>
      </x:c>
      <x:c r="G163" s="2" t="str">
        <x:v>F01</x:v>
      </x:c>
      <x:c r="H163" s="2" t="str">
        <x:v>Representation and usage-contract alignment</x:v>
      </x:c>
      <x:c r="I163" s="2" t="str">
        <x:v>Recorded as implemented in the source data</x:v>
      </x:c>
      <x:c r="J163" s="2" t="str">
        <x:v>Yes, you don't have to answer 2 xx response Direct Success</x:v>
      </x:c>
      <x:c r="K163" s="2" t="str">
        <x:v>No need response The body's successful echoes 2 xx The contract is directly successful. It's dominated API Consumption compacts F01; cancel body error is ignored only to accompany.  root cause response: invocation party declares discardResponse to avoid failure of successful operation due to loss of response body</x:v>
      </x:c>
      <x:c r="L163" s="2" t="str">
        <x:v>The two sets of labels agree and the original decision is retained; see the original annotations for the action and its association with the root cause.</x:v>
      </x:c>
      <x:c r="M163" s="2" t="str">
        <x:v>https://github.com/openclaw/openclaw/issues/149457</x:v>
      </x:c>
      <x:c r="N163" s="2" t="str">
        <x:v>F01</x:v>
      </x:c>
      <x:c r="O163" s="2" t="str">
        <x:v>Determinate from available evidence</x:v>
      </x:c>
    </x:row>
    <x:row r="164" ht="48.5" customHeight="1">
      <x:c r="A164" s="2" t="str">
        <x:v>P0124</x:v>
      </x:c>
      <x:c r="B164" s="2" t="str">
        <x:v>openclaw/openclaw</x:v>
      </x:c>
      <x:c r="C164" s="2" t="n">
        <x:v>154250</x:v>
      </x:c>
      <x:c r="D164" s="2" t="str">
        <x:v>C10</x:v>
      </x:c>
      <x:c r="E164" s="2" t="str">
        <x:v>F02</x:v>
      </x:c>
      <x:c r="F164" s="2" t="str">
        <x:v>F02</x:v>
      </x:c>
      <x:c r="G164" s="2" t="str">
        <x:v>F02</x:v>
      </x:c>
      <x:c r="H164" s="2" t="str">
        <x:v>Execution-flow and state correction</x:v>
      </x:c>
      <x:c r="I164" s="2" t="str">
        <x:v>Recorded as implemented in the source data</x:v>
      </x:c>
      <x:c r="J164" s="2" t="str">
        <x:v>Removal of deactivated and functioning residual markings before recovery</x:v>
      </x:c>
      <x:c r="K164" s="2" t="str">
        <x:v>The focus is state selection, execution progression, scope, or lifecycle management in the normal path.  Specific action: Removal of decommissioned remaining markings before recovery.  root cause response: allowing short-mission fast paths to complete failed settlements, preventing unlimited retry and prohibiting late re-opening</x:v>
      </x:c>
      <x:c r="L164" s="2" t="str">
        <x:v>The two sets of labels agree and the original decision is retained; see the original annotations for the action and its association with the root cause.</x:v>
      </x:c>
      <x:c r="M164" s="2" t="str">
        <x:v>https://github.com/openclaw/openclaw/issues/154250</x:v>
      </x:c>
      <x:c r="N164" s="2" t="str">
        <x:v>F02</x:v>
      </x:c>
      <x:c r="O164" s="2" t="str">
        <x:v>Determinate from available evidence</x:v>
      </x:c>
    </x:row>
    <x:row r="165" ht="35" customHeight="1">
      <x:c r="A165" s="2" t="str">
        <x:v>P0125</x:v>
      </x:c>
      <x:c r="B165" s="2" t="str">
        <x:v>openclaw/openclaw</x:v>
      </x:c>
      <x:c r="C165" s="2" t="n">
        <x:v>154353</x:v>
      </x:c>
      <x:c r="D165" s="2" t="str">
        <x:v>C18</x:v>
      </x:c>
      <x:c r="E165" s="2" t="str">
        <x:v>F02</x:v>
      </x:c>
      <x:c r="F165" s="2" t="str">
        <x:v>F04</x:v>
      </x:c>
      <x:c r="G165" s="2" t="str">
        <x:v>F04</x:v>
      </x:c>
      <x:c r="H165" s="2" t="str">
        <x:v>Environment and distribution adaptation</x:v>
      </x:c>
      <x:c r="I165" s="2" t="str">
        <x:v>Recorded as implemented in the source data</x:v>
      </x:c>
      <x:c r="J165" s="2" t="str">
        <x:v>Windows Subprocess Job authentication Clear and typify uncertain results</x:v>
      </x:c>
      <x:c r="K165" s="2" t="str">
        <x:v>To complete Windows Job &amp; Platform adaptor missing Extermination authentication It's the main production movement typed uncertain and scope Explains it to be compatible.</x:v>
      </x:c>
      <x:c r="L165" s="2" t="str">
        <x:v>Integrating task back-checking of freeze source materials: authentication's extinction capabilities in complementary Windows Job and platform adapter missing are the main production actions, with typed uncertain and scope interpreted as supporting.</x:v>
      </x:c>
      <x:c r="M165" s="2" t="str">
        <x:v>https://github.com/openclaw/openclaw/issues/154353</x:v>
      </x:c>
      <x:c r="N165" s="2" t="str">
        <x:v>F04</x:v>
      </x:c>
      <x:c r="O165" s="2" t="str">
        <x:v>Determinate from available evidence</x:v>
      </x:c>
    </x:row>
    <x:row r="166" ht="48.5" customHeight="1">
      <x:c r="A166" s="2" t="str">
        <x:v>P0126</x:v>
      </x:c>
      <x:c r="B166" s="2" t="str">
        <x:v>openclaw/openclaw</x:v>
      </x:c>
      <x:c r="C166" s="2" t="n">
        <x:v>156370</x:v>
      </x:c>
      <x:c r="D166" s="2" t="str">
        <x:v>C11</x:v>
      </x:c>
      <x:c r="E166" s="2" t="str">
        <x:v>F02</x:v>
      </x:c>
      <x:c r="F166" s="2" t="str">
        <x:v>F02</x:v>
      </x:c>
      <x:c r="G166" s="2" t="str">
        <x:v>F02</x:v>
      </x:c>
      <x:c r="H166" s="2" t="str">
        <x:v>Execution-flow and state correction</x:v>
      </x:c>
      <x:c r="I166" s="2" t="str">
        <x:v>Recorded as implemented in the source data</x:v>
      </x:c>
      <x:c r="J166" s="2" t="str">
        <x:v>Press Direct parent session Isolation subagent concurrency Driveway</x:v>
      </x:c>
      <x:c r="K166" s="2" t="str">
        <x:v>The focus is state selection, execution progression, scope, or lifecycle management in the normal path.  Specific actions: Press Direct parent session Isolation subagent concurrency Driveway.  root cause response: separate session budgets, nested subroutines no longer occupy the same slot as parent</x:v>
      </x:c>
      <x:c r="L166" s="2" t="str">
        <x:v>The two sets of labels agree and the original decision is retained; see the original annotations for the action and its association with the root cause.</x:v>
      </x:c>
      <x:c r="M166" s="2" t="str">
        <x:v>https://github.com/openclaw/openclaw/issues/156370</x:v>
      </x:c>
      <x:c r="N166" s="2" t="str">
        <x:v>F02</x:v>
      </x:c>
      <x:c r="O166" s="2" t="str">
        <x:v>Determinate from available evidence</x:v>
      </x:c>
    </x:row>
    <x:row r="167" ht="48.5" customHeight="1">
      <x:c r="A167" s="2" t="str">
        <x:v>P0129</x:v>
      </x:c>
      <x:c r="B167" s="2" t="str">
        <x:v>openclaw/openclaw</x:v>
      </x:c>
      <x:c r="C167" s="2" t="n">
        <x:v>166771</x:v>
      </x:c>
      <x:c r="D167" s="2" t="str">
        <x:v>C10</x:v>
      </x:c>
      <x:c r="E167" s="2" t="str">
        <x:v>F02</x:v>
      </x:c>
      <x:c r="F167" s="2" t="str">
        <x:v>F02</x:v>
      </x:c>
      <x:c r="G167" s="2" t="str">
        <x:v>F02</x:v>
      </x:c>
      <x:c r="H167" s="2" t="str">
        <x:v>Execution-flow and state correction</x:v>
      </x:c>
      <x:c r="I167" s="2" t="str">
        <x:v>Recorded as implemented in the source data</x:v>
      </x:c>
      <x:c r="J167" s="2" t="str">
        <x:v>Verify a live yield custody relationship and move back the fence</x:v>
      </x:c>
      <x:c r="K167" s="2" t="str">
        <x:v>The focus is state selection, execution progression, scope, or lifecycle management in the normal path.  Specific Action: Verify the live yield custody relationship and move back to the fence.  root cause response: Remove existing ownership of the old fence before confirming the current ownership of the batch, allowing for re-access to meetings without crossing the intergenerational fence</x:v>
      </x:c>
      <x:c r="L167" s="2" t="str">
        <x:v>The two sets of labels agree and the original decision is retained; see the original annotations for the action and its association with the root cause.</x:v>
      </x:c>
      <x:c r="M167" s="2" t="str">
        <x:v>https://github.com/openclaw/openclaw/issues/166771</x:v>
      </x:c>
      <x:c r="N167" s="2" t="str">
        <x:v>F02</x:v>
      </x:c>
      <x:c r="O167" s="2" t="str">
        <x:v>Determinate from available evidence</x:v>
      </x:c>
    </x:row>
    <x:row r="168" ht="48.5" customHeight="1">
      <x:c r="A168" s="2" t="str">
        <x:v>P0252</x:v>
      </x:c>
      <x:c r="B168" s="2" t="str">
        <x:v>langgenius/dify</x:v>
      </x:c>
      <x:c r="C168" s="2" t="n">
        <x:v>6148</x:v>
      </x:c>
      <x:c r="D168" s="2" t="str">
        <x:v>C04</x:v>
      </x:c>
      <x:c r="E168" s="2" t="str">
        <x:v>F01</x:v>
      </x:c>
      <x:c r="F168" s="2" t="str">
        <x:v>F01</x:v>
      </x:c>
      <x:c r="G168" s="2" t="str">
        <x:v>F01</x:v>
      </x:c>
      <x:c r="H168" s="2" t="str">
        <x:v>Representation and usage-contract alignment</x:v>
      </x:c>
      <x:c r="I168" s="2" t="str">
        <x:v>Partial coverage</x:v>
      </x:c>
      <x:c r="J168" s="2" t="str">
        <x:v>Additional note model registration and calibration model names</x:v>
      </x:c>
      <x:c r="K168" s="2" t="str">
        <x:v>The focus is correcting content representation, field transmission, static associations, or prompt/usage contracts.  Specific Action: Registration and calibration of model names for Additional note models.  root cause Response: Allows providers to select from existing deepseek-coder-v2-like models</x:v>
      </x:c>
      <x:c r="L168" s="2" t="str">
        <x:v>The two sets of labels agree and the original decision is retained; see the original annotations for the action and its association with the root cause.</x:v>
      </x:c>
      <x:c r="M168" s="2" t="str">
        <x:v>https://github.com/langgenius/dify/issues/6148</x:v>
      </x:c>
      <x:c r="N168" s="2" t="str">
        <x:v>F01</x:v>
      </x:c>
      <x:c r="O168" s="2" t="str">
        <x:v>Determinate from available evidence</x:v>
      </x:c>
    </x:row>
    <x:row r="169" ht="48.5" customHeight="1">
      <x:c r="A169" s="2" t="str">
        <x:v>P0254</x:v>
      </x:c>
      <x:c r="B169" s="2" t="str">
        <x:v>langgenius/dify</x:v>
      </x:c>
      <x:c r="C169" s="2" t="n">
        <x:v>6171</x:v>
      </x:c>
      <x:c r="D169" s="2" t="str">
        <x:v>C12</x:v>
      </x:c>
      <x:c r="E169" s="2" t="str">
        <x:v>F03</x:v>
      </x:c>
      <x:c r="F169" s="2" t="str">
        <x:v>F03</x:v>
      </x:c>
      <x:c r="G169" s="2" t="str">
        <x:v>F03</x:v>
      </x:c>
      <x:c r="H169" s="2" t="str">
        <x:v>Validation and failure-path hardening</x:v>
      </x:c>
      <x:c r="I169" s="2" t="str">
        <x:v>Recorded as implemented in the source data</x:v>
      </x:c>
      <x:c r="J169" s="2" t="str">
        <x:v>tool Form Add Name and schema Requirements</x:v>
      </x:c>
      <x:c r="K169" s="2" t="str">
        <x:v>The focus is validation, controlled rejection, exception classification, or fallback after failure.  Specific Action: Adding names to tool forms and schema compulsory validation.  root cause Response: In creating edit inputs, block the empty unique identifier and empty mode from entering the list</x:v>
      </x:c>
      <x:c r="L169" s="2" t="str">
        <x:v>The two sets of labels agree and the original decision is retained; see the original annotations for the action and its association with the root cause.</x:v>
      </x:c>
      <x:c r="M169" s="2" t="str">
        <x:v>https://github.com/langgenius/dify/issues/6171</x:v>
      </x:c>
      <x:c r="N169" s="2" t="str">
        <x:v>F03</x:v>
      </x:c>
      <x:c r="O169" s="2" t="str">
        <x:v>Determinate from available evidence</x:v>
      </x:c>
    </x:row>
    <x:row r="170" ht="35" customHeight="1">
      <x:c r="A170" s="2" t="str">
        <x:v>P0255</x:v>
      </x:c>
      <x:c r="B170" s="2" t="str">
        <x:v>langgenius/dify</x:v>
      </x:c>
      <x:c r="C170" s="2" t="n">
        <x:v>6191</x:v>
      </x:c>
      <x:c r="D170" s="2" t="str">
        <x:v>C03</x:v>
      </x:c>
      <x:c r="E170" s="2" t="str">
        <x:v>F01</x:v>
      </x:c>
      <x:c r="F170" s="2" t="str">
        <x:v>F01</x:v>
      </x:c>
      <x:c r="G170" s="2" t="str">
        <x:v>F01</x:v>
      </x:c>
      <x:c r="H170" s="2" t="str">
        <x:v>Representation and usage-contract alignment</x:v>
      </x:c>
      <x:c r="I170" s="2" t="str">
        <x:v>Recorded as implemented in the source data</x:v>
      </x:c>
      <x:c r="J170" s="2" t="str">
        <x:v>List of tool Supplemental Tag Data</x:v>
      </x:c>
      <x:c r="K170" s="2" t="str">
        <x:v>The focus is correcting content representation, field transmission, static associations, or prompt/usage contracts.  Specific action: tool lists to supplement labeling data.  root cause Response: Fill in the missing end fields for screening consumer end</x:v>
      </x:c>
      <x:c r="L170" s="2" t="str">
        <x:v>The two sets of labels agree and the original decision is retained; see the original annotations for the action and its association with the root cause.</x:v>
      </x:c>
      <x:c r="M170" s="2" t="str">
        <x:v>https://github.com/langgenius/dify/issues/6191</x:v>
      </x:c>
      <x:c r="N170" s="2" t="str">
        <x:v>F01</x:v>
      </x:c>
      <x:c r="O170" s="2" t="str">
        <x:v>Determinate from available evidence</x:v>
      </x:c>
    </x:row>
    <x:row r="171" ht="35" customHeight="1">
      <x:c r="A171" s="2" t="str">
        <x:v>P0257</x:v>
      </x:c>
      <x:c r="B171" s="2" t="str">
        <x:v>langgenius/dify</x:v>
      </x:c>
      <x:c r="C171" s="2" t="n">
        <x:v>6304</x:v>
      </x:c>
      <x:c r="D171" s="2" t="str">
        <x:v>C17</x:v>
      </x:c>
      <x:c r="E171" s="2" t="str">
        <x:v>F04</x:v>
      </x:c>
      <x:c r="F171" s="2" t="str">
        <x:v>F04</x:v>
      </x:c>
      <x:c r="G171" s="2" t="str">
        <x:v>F04</x:v>
      </x:c>
      <x:c r="H171" s="2" t="str">
        <x:v>Environment and distribution adaptation</x:v>
      </x:c>
      <x:c r="I171" s="2" t="str">
        <x:v>Recorded as implemented in the source data</x:v>
      </x:c>
      <x:c r="J171" s="2" t="str">
        <x:v>Deploy configuration exposures to tool connection and read timeout</x:v>
      </x:c>
      <x:c r="K171" s="2" t="str">
        <x:v>Put it on the ground environment variable Exposure compose and env For deployment configuration, return F04; not changed tool Timer Policy.  root cause Response: Send the actual timeout key to the environment instead of letting users change their unrelated budget</x:v>
      </x:c>
      <x:c r="L171" s="2" t="str">
        <x:v>The two sets of labels agree and the original decision is retained; see the original annotations for the action and its association with the root cause.</x:v>
      </x:c>
      <x:c r="M171" s="2" t="str">
        <x:v>https://github.com/langgenius/dify/issues/6304</x:v>
      </x:c>
      <x:c r="N171" s="2" t="str">
        <x:v>F04</x:v>
      </x:c>
      <x:c r="O171" s="2" t="str">
        <x:v>Determinate from available evidence</x:v>
      </x:c>
    </x:row>
    <x:row r="172" ht="35" customHeight="1">
      <x:c r="A172" s="2" t="str">
        <x:v>P0258</x:v>
      </x:c>
      <x:c r="B172" s="2" t="str">
        <x:v>langgenius/dify</x:v>
      </x:c>
      <x:c r="C172" s="2" t="n">
        <x:v>6549</x:v>
      </x:c>
      <x:c r="D172" s="2" t="str">
        <x:v>C02</x:v>
      </x:c>
      <x:c r="E172" s="2" t="str">
        <x:v>F01</x:v>
      </x:c>
      <x:c r="F172" s="2" t="str">
        <x:v>F01</x:v>
      </x:c>
      <x:c r="G172" s="2" t="str">
        <x:v>F01</x:v>
      </x:c>
      <x:c r="H172" s="2" t="str">
        <x:v>Representation and usage-contract alignment</x:v>
      </x:c>
      <x:c r="I172" s="2" t="str">
        <x:v>Recorded as implemented in the source data</x:v>
      </x:c>
      <x:c r="J172" s="2" t="str">
        <x:v>Converting and reconciling uniform parameter types to digital voids</x:v>
      </x:c>
      <x:c r="K172" s="2" t="str">
        <x:v>The dominant multi-parameters represent the conversion of F01, and the digital null-value defense F03 for parallel correction.  root cause response: retaining llm/number/select semantics to eliminate gaps in front-end and back-end null processing</x:v>
      </x:c>
      <x:c r="L172" s="2" t="str">
        <x:v>The two sets of labels agree and the original decision is retained; see the original annotations for the action and its association with the root cause.</x:v>
      </x:c>
      <x:c r="M172" s="2" t="str">
        <x:v>https://github.com/langgenius/dify/issues/6549</x:v>
      </x:c>
      <x:c r="N172" s="2" t="str">
        <x:v>F01</x:v>
      </x:c>
      <x:c r="O172" s="2" t="str">
        <x:v>Determinate from available evidence</x:v>
      </x:c>
    </x:row>
    <x:row r="173" ht="48.5" customHeight="1">
      <x:c r="A173" s="2" t="str">
        <x:v>P0260</x:v>
      </x:c>
      <x:c r="B173" s="2" t="str">
        <x:v>langgenius/dify</x:v>
      </x:c>
      <x:c r="C173" s="2" t="n">
        <x:v>7483</x:v>
      </x:c>
      <x:c r="D173" s="2" t="str">
        <x:v>C03</x:v>
      </x:c>
      <x:c r="E173" s="2" t="str">
        <x:v>F01</x:v>
      </x:c>
      <x:c r="F173" s="2" t="str">
        <x:v>F01</x:v>
      </x:c>
      <x:c r="G173" s="2" t="str">
        <x:v>F01</x:v>
      </x:c>
      <x:c r="H173" s="2" t="str">
        <x:v>Representation and usage-contract alignment</x:v>
      </x:c>
      <x:c r="I173" s="2" t="str">
        <x:v>Recorded as implemented in the source data</x:v>
      </x:c>
      <x:c r="J173" s="2" t="str">
        <x:v>Modular complex parameter transmission and conversion</x:v>
      </x:c>
      <x:c r="K173" s="2" t="str">
        <x:v>The focus is correcting content representation, field transmission, static associations, or prompt/usage contracts.  Concrete action: Modular complex parameter transmission and conversion.  root cause response: Modify Novita complex parameter assembly to make constraints and devalue to tool</x:v>
      </x:c>
      <x:c r="L173" s="2" t="str">
        <x:v>The two sets of labels agree and the original decision is retained; see the original annotations for the action and its association with the root cause.</x:v>
      </x:c>
      <x:c r="M173" s="2" t="str">
        <x:v>https://github.com/langgenius/dify/issues/7483</x:v>
      </x:c>
      <x:c r="N173" s="2" t="str">
        <x:v>F01</x:v>
      </x:c>
      <x:c r="O173" s="2" t="str">
        <x:v>Determinate from available evidence</x:v>
      </x:c>
    </x:row>
    <x:row r="174" ht="48.5" customHeight="1">
      <x:c r="A174" s="2" t="str">
        <x:v>P0261</x:v>
      </x:c>
      <x:c r="B174" s="2" t="str">
        <x:v>langgenius/dify</x:v>
      </x:c>
      <x:c r="C174" s="2" t="n">
        <x:v>7669</x:v>
      </x:c>
      <x:c r="D174" s="2" t="str">
        <x:v>C04</x:v>
      </x:c>
      <x:c r="E174" s="2" t="str">
        <x:v>F01</x:v>
      </x:c>
      <x:c r="F174" s="2" t="str">
        <x:v>F01</x:v>
      </x:c>
      <x:c r="G174" s="2" t="str">
        <x:v>F01</x:v>
      </x:c>
      <x:c r="H174" s="2" t="str">
        <x:v>Representation and usage-contract alignment</x:v>
      </x:c>
      <x:c r="I174" s="2" t="str">
        <x:v>Recorded as implemented in the source data</x:v>
      </x:c>
      <x:c r="J174" s="2" t="str">
        <x:v>Turn on or off tool invocation sign, depending on the actual capability of the model</x:v>
      </x:c>
      <x:c r="K174" s="2" t="str">
        <x:v>The focus is correcting content representation, field transmission, static associations, or prompt/usage contracts.  Specific action: Turn off or open tool invocation signage according to model actual capabilities.    root cause Corresponding: Avoiding support to non-support FC  doubao Send tool invocation Request</x:v>
      </x:c>
      <x:c r="L174" s="2" t="str">
        <x:v>The two sets of labels agree and the original decision is retained; see the original annotations for the action and its association with the root cause.</x:v>
      </x:c>
      <x:c r="M174" s="2" t="str">
        <x:v>https://github.com/langgenius/dify/issues/7669</x:v>
      </x:c>
      <x:c r="N174" s="2" t="str">
        <x:v>F01</x:v>
      </x:c>
      <x:c r="O174" s="2" t="str">
        <x:v>Determinate from available evidence</x:v>
      </x:c>
    </x:row>
    <x:row r="175" ht="48.5" customHeight="1">
      <x:c r="A175" s="2" t="str">
        <x:v>P0263</x:v>
      </x:c>
      <x:c r="B175" s="2" t="str">
        <x:v>langgenius/dify</x:v>
      </x:c>
      <x:c r="C175" s="2" t="n">
        <x:v>8324</x:v>
      </x:c>
      <x:c r="D175" s="2" t="str">
        <x:v>C04</x:v>
      </x:c>
      <x:c r="E175" s="2" t="str">
        <x:v>F01</x:v>
      </x:c>
      <x:c r="F175" s="2" t="str">
        <x:v>F01</x:v>
      </x:c>
      <x:c r="G175" s="2" t="str">
        <x:v>F01</x:v>
      </x:c>
      <x:c r="H175" s="2" t="str">
        <x:v>Representation and usage-contract alignment</x:v>
      </x:c>
      <x:c r="I175" s="2" t="str">
        <x:v>Recorded as implemented in the source data</x:v>
      </x:c>
      <x:c r="J175" s="2" t="str">
        <x:v>Update tool endpoints and return structures to the new API</x:v>
      </x:c>
      <x:c r="K175" s="2" t="str">
        <x:v>The focus is correcting content representation, field transmission, static associations, or prompt/usage contracts.  Specific action: Update tool endpoints and return structure to the new API.  root cause response: eliminate Firecrawl hardcoding v0 from matching upstream v1</x:v>
      </x:c>
      <x:c r="L175" s="2" t="str">
        <x:v>The two sets of labels agree and the original decision is retained; see the original annotations for the action and its association with the root cause.</x:v>
      </x:c>
      <x:c r="M175" s="2" t="str">
        <x:v>https://github.com/langgenius/dify/issues/8324</x:v>
      </x:c>
      <x:c r="N175" s="2" t="str">
        <x:v>F01</x:v>
      </x:c>
      <x:c r="O175" s="2" t="str">
        <x:v>Determinate from available evidence</x:v>
      </x:c>
    </x:row>
    <x:row r="176" ht="48.5" customHeight="1">
      <x:c r="A176" s="2" t="str">
        <x:v>P0265</x:v>
      </x:c>
      <x:c r="B176" s="2" t="str">
        <x:v>langgenius/dify</x:v>
      </x:c>
      <x:c r="C176" s="2" t="n">
        <x:v>9725</x:v>
      </x:c>
      <x:c r="D176" s="2" t="str">
        <x:v>C04</x:v>
      </x:c>
      <x:c r="E176" s="2" t="str">
        <x:v>F01</x:v>
      </x:c>
      <x:c r="F176" s="2" t="str">
        <x:v>F01</x:v>
      </x:c>
      <x:c r="G176" s="2" t="str">
        <x:v>F01</x:v>
      </x:c>
      <x:c r="H176" s="2" t="str">
        <x:v>Representation and usage-contract alignment</x:v>
      </x:c>
      <x:c r="I176" s="2" t="str">
        <x:v>Partial coverage</x:v>
      </x:c>
      <x:c r="J176" s="2" t="str">
        <x:v>Press Google Require conversion without parameters tool schema</x:v>
      </x:c>
      <x:c r="K176" s="2" t="str">
        <x:v>The focus is correcting content representation, field transmission, static associations, or prompt/usage contracts.  Specific actions: Press Google Require conversion without parameters tool schema.  root cause response: OBJECT parametric structure that does not send illegal properties</x:v>
      </x:c>
      <x:c r="L176" s="2" t="str">
        <x:v>The two sets of labels agree and the original decision is retained; see the original annotations for the action and its association with the root cause.</x:v>
      </x:c>
      <x:c r="M176" s="2" t="str">
        <x:v>https://github.com/langgenius/dify/issues/9725</x:v>
      </x:c>
      <x:c r="N176" s="2" t="str">
        <x:v>F01</x:v>
      </x:c>
      <x:c r="O176" s="2" t="str">
        <x:v>Determinate from available evidence</x:v>
      </x:c>
    </x:row>
    <x:row r="177" ht="35" customHeight="1">
      <x:c r="A177" s="2" t="str">
        <x:v>P0273</x:v>
      </x:c>
      <x:c r="B177" s="2" t="str">
        <x:v>langgenius/dify</x:v>
      </x:c>
      <x:c r="C177" s="2" t="n">
        <x:v>13403</x:v>
      </x:c>
      <x:c r="D177" s="2" t="str">
        <x:v>C17</x:v>
      </x:c>
      <x:c r="E177" s="2" t="str">
        <x:v>F04</x:v>
      </x:c>
      <x:c r="F177" s="2" t="str">
        <x:v>F04</x:v>
      </x:c>
      <x:c r="G177" s="2" t="str">
        <x:v>F04</x:v>
      </x:c>
      <x:c r="H177" s="2" t="str">
        <x:v>Environment and distribution adaptation</x:v>
      </x:c>
      <x:c r="I177" s="2" t="str">
        <x:v>Partial coverage</x:v>
      </x:c>
      <x:c r="J177" s="2" t="str">
        <x:v>Upgrade tool SDK Version</x:v>
      </x:c>
      <x:c r="K177" s="2" t="str">
        <x:v>The focus is platform prerequisites, build dependencies, deployment, or installation/distribution artifacts.  Specific actions: Upgrade tool SDK Version.  root cause Response: Using yfinance0.2.54 to replace the old 0.2.51 to solve upstream limit flow compatibility</x:v>
      </x:c>
      <x:c r="L177" s="2" t="str">
        <x:v>The two sets of labels agree and the original decision is retained; see the original annotations for the action and its association with the root cause.</x:v>
      </x:c>
      <x:c r="M177" s="2" t="str">
        <x:v>https://github.com/langgenius/dify/issues/13403</x:v>
      </x:c>
      <x:c r="N177" s="2" t="str">
        <x:v>F04</x:v>
      </x:c>
      <x:c r="O177" s="2" t="str">
        <x:v>Determinate from available evidence</x:v>
      </x:c>
    </x:row>
    <x:row r="178" ht="48.5" customHeight="1">
      <x:c r="A178" s="2" t="str">
        <x:v>P0275</x:v>
      </x:c>
      <x:c r="B178" s="2" t="str">
        <x:v>langgenius/dify</x:v>
      </x:c>
      <x:c r="C178" s="2" t="n">
        <x:v>14460</x:v>
      </x:c>
      <x:c r="D178" s="2" t="str">
        <x:v>C10</x:v>
      </x:c>
      <x:c r="E178" s="2" t="str">
        <x:v>U1</x:v>
      </x:c>
      <x:c r="F178" s="2" t="str">
        <x:v>U1</x:v>
      </x:c>
      <x:c r="G178" s="2" t="str">
        <x:v>F03</x:v>
      </x:c>
      <x:c r="H178" s="2" t="str">
        <x:v>Validation and failure-path hardening</x:v>
      </x:c>
      <x:c r="I178" s="2" t="str">
        <x:v>Insufficient association evidence</x:v>
      </x:c>
      <x:c r="J178" s="2" t="str">
        <x:v>Suggested action (presumption): Recommendation HTTP tool Failed to generate controlled error results and maintain follow-up flow output to continue.</x:v>
      </x:c>
      <x:c r="K178" s="2" t="str">
        <x:v>Short summary Answer patches are irrelevant, since the failure to disconnect the flow after HTTP abnormalities is closest to failing processing reinforcement.  This is an additional closest-fit assignment, not an established repair fact.</x:v>
      </x:c>
      <x:c r="L178" s="2" t="str">
        <x:v>One closest-fit strategy is selected as additionally requested.  Short summary Answer patches are irrelevant, since the failure to disconnect the flow after HTTP abnormalities is closest to failing processing reinforcement.  This is an additional closest-fit assignment, not an established repair fact.  The original evidence review is U1; this does not establish that a targeted repair has been verified.</x:v>
      </x:c>
      <x:c r="M178" s="2" t="str">
        <x:v>https://github.com/langgenius/dify/issues/14460</x:v>
      </x:c>
      <x:c r="N178" s="2" t="str">
        <x:v>U1</x:v>
      </x:c>
      <x:c r="O178" s="2" t="str">
        <x:v>Inferred from the primary root cause</x:v>
      </x:c>
    </x:row>
    <x:row r="179" ht="48.5" customHeight="1">
      <x:c r="A179" s="2" t="str">
        <x:v>P0278</x:v>
      </x:c>
      <x:c r="B179" s="2" t="str">
        <x:v>langgenius/dify</x:v>
      </x:c>
      <x:c r="C179" s="2" t="n">
        <x:v>15118</x:v>
      </x:c>
      <x:c r="D179" s="2" t="str">
        <x:v>C17</x:v>
      </x:c>
      <x:c r="E179" s="2" t="str">
        <x:v>F01</x:v>
      </x:c>
      <x:c r="F179" s="2" t="str">
        <x:v>F01</x:v>
      </x:c>
      <x:c r="G179" s="2" t="str">
        <x:v>F01</x:v>
      </x:c>
      <x:c r="H179" s="2" t="str">
        <x:v>Representation and usage-contract alignment</x:v>
      </x:c>
      <x:c r="I179" s="2" t="str">
        <x:v>Partial coverage</x:v>
      </x:c>
      <x:c r="J179" s="2" t="str">
        <x:v>Note explains linking and modifying API keys internally and externally</x:v>
      </x:c>
      <x:c r="K179" s="2" t="str">
        <x:v>The focus is correcting content representation, field transmission, static associations, or prompt/usage contracts.  Concrete action: Commentary explains how to modify the API key internally and externally.    root cause Corresponding: Keeping deployed api and daemon authentication Configure Unique</x:v>
      </x:c>
      <x:c r="L179" s="2" t="str">
        <x:v>The two sets of labels agree and the original decision is retained; see the original annotations for the action and its association with the root cause.</x:v>
      </x:c>
      <x:c r="M179" s="2" t="str">
        <x:v>https://github.com/langgenius/dify/issues/15118</x:v>
      </x:c>
      <x:c r="N179" s="2" t="str">
        <x:v>F01</x:v>
      </x:c>
      <x:c r="O179" s="2" t="str">
        <x:v>Determinate from available evidence</x:v>
      </x:c>
    </x:row>
    <x:row r="180" ht="35" customHeight="1">
      <x:c r="A180" s="2" t="str">
        <x:v>P0282</x:v>
      </x:c>
      <x:c r="B180" s="2" t="str">
        <x:v>langgenius/dify</x:v>
      </x:c>
      <x:c r="C180" s="2" t="n">
        <x:v>15825</x:v>
      </x:c>
      <x:c r="D180" s="2" t="str">
        <x:v>C12</x:v>
      </x:c>
      <x:c r="E180" s="2" t="str">
        <x:v>F03</x:v>
      </x:c>
      <x:c r="F180" s="2" t="str">
        <x:v>F03</x:v>
      </x:c>
      <x:c r="G180" s="2" t="str">
        <x:v>F03</x:v>
      </x:c>
      <x:c r="H180" s="2" t="str">
        <x:v>Validation and failure-path hardening</x:v>
      </x:c>
      <x:c r="I180" s="2" t="str">
        <x:v>Recorded as implemented in the source data</x:v>
      </x:c>
      <x:c r="J180" s="2" t="str">
        <x:v>Air tool opts to convert to empty list</x:v>
      </x:c>
      <x:c r="K180" s="2" t="str">
        <x:v>None Direct fallback empty list empty value fallback In accordance with the rules of the boundary F03, do not sequence in the general list.  root cause Response: Allow None to select a list of contracts to satisfy TOOLS_SELECTOR</x:v>
      </x:c>
      <x:c r="L180" s="2" t="str">
        <x:v>The two sets of labels agree and the original decision is retained; see the original annotations for the action and its association with the root cause.</x:v>
      </x:c>
      <x:c r="M180" s="2" t="str">
        <x:v>https://github.com/langgenius/dify/issues/15825</x:v>
      </x:c>
      <x:c r="N180" s="2" t="str">
        <x:v>F03</x:v>
      </x:c>
      <x:c r="O180" s="2" t="str">
        <x:v>Determinate from available evidence</x:v>
      </x:c>
    </x:row>
    <x:row r="181" ht="48.5" customHeight="1">
      <x:c r="A181" s="2" t="str">
        <x:v>P0285</x:v>
      </x:c>
      <x:c r="B181" s="2" t="str">
        <x:v>langgenius/dify</x:v>
      </x:c>
      <x:c r="C181" s="2" t="n">
        <x:v>16872</x:v>
      </x:c>
      <x:c r="D181" s="2" t="str">
        <x:v>C02</x:v>
      </x:c>
      <x:c r="E181" s="2" t="str">
        <x:v>F01</x:v>
      </x:c>
      <x:c r="F181" s="2" t="str">
        <x:v>F01</x:v>
      </x:c>
      <x:c r="G181" s="2" t="str">
        <x:v>F01</x:v>
      </x:c>
      <x:c r="H181" s="2" t="str">
        <x:v>Representation and usage-contract alignment</x:v>
      </x:c>
      <x:c r="I181" s="2" t="str">
        <x:v>Partial coverage</x:v>
      </x:c>
      <x:c r="J181" s="2" t="str">
        <x:v>Adjust the tool prompt mode to be AnthropicAPI compatible</x:v>
      </x:c>
      <x:c r="K181" s="2" t="str">
        <x:v>The focus is correcting content representation, field transmission, static associations, or prompt/usage contracts.  Specific Action: Adjusting the tool prompt mode to be compatible with AnthropicAPI.  root cause Response: Structures that violate API constraints after modifying yaml to turn schema</x:v>
      </x:c>
      <x:c r="L181" s="2" t="str">
        <x:v>The two sets of labels agree and the original decision is retained; see the original annotations for the action and its association with the root cause.</x:v>
      </x:c>
      <x:c r="M181" s="2" t="str">
        <x:v>https://github.com/langgenius/dify/issues/16872</x:v>
      </x:c>
      <x:c r="N181" s="2" t="str">
        <x:v>F01</x:v>
      </x:c>
      <x:c r="O181" s="2" t="str">
        <x:v>Determinate from available evidence</x:v>
      </x:c>
    </x:row>
    <x:row r="182" ht="48.5" customHeight="1">
      <x:c r="A182" s="2" t="str">
        <x:v>P0293</x:v>
      </x:c>
      <x:c r="B182" s="2" t="str">
        <x:v>langgenius/dify</x:v>
      </x:c>
      <x:c r="C182" s="2" t="n">
        <x:v>18375</x:v>
      </x:c>
      <x:c r="D182" s="2" t="str">
        <x:v>C14</x:v>
      </x:c>
      <x:c r="E182" s="2" t="str">
        <x:v>F01</x:v>
      </x:c>
      <x:c r="F182" s="2" t="str">
        <x:v>F01</x:v>
      </x:c>
      <x:c r="G182" s="2" t="str">
        <x:v>F01</x:v>
      </x:c>
      <x:c r="H182" s="2" t="str">
        <x:v>Representation and usage-contract alignment</x:v>
      </x:c>
      <x:c r="I182" s="2" t="str">
        <x:v>Recorded as implemented in the source data</x:v>
      </x:c>
      <x:c r="J182" s="2" t="str">
        <x:v>Processing LINK messages and building delivery file objects</x:v>
      </x:c>
      <x:c r="K182" s="2" t="str">
        <x:v>The focus is correcting content representation, field transmission, static associations, or prompt/usage contracts.  Specific action: Processing LINK messages and building delivery file objects.    root cause Corresponding: by URL Cha ToolFile Accession files, complete the text return type</x:v>
      </x:c>
      <x:c r="L182" s="2" t="str">
        <x:v>The two sets of labels agree and the original decision is retained; see the original annotations for the action and its association with the root cause.</x:v>
      </x:c>
      <x:c r="M182" s="2" t="str">
        <x:v>https://github.com/langgenius/dify/issues/18375</x:v>
      </x:c>
      <x:c r="N182" s="2" t="str">
        <x:v>F01</x:v>
      </x:c>
      <x:c r="O182" s="2" t="str">
        <x:v>Determinate from available evidence</x:v>
      </x:c>
    </x:row>
    <x:row r="183" ht="48.5" customHeight="1">
      <x:c r="A183" s="2" t="str">
        <x:v>P0298</x:v>
      </x:c>
      <x:c r="B183" s="2" t="str">
        <x:v>langgenius/dify</x:v>
      </x:c>
      <x:c r="C183" s="2" t="n">
        <x:v>21225</x:v>
      </x:c>
      <x:c r="D183" s="2" t="str">
        <x:v>C06</x:v>
      </x:c>
      <x:c r="E183" s="2" t="str">
        <x:v>U1</x:v>
      </x:c>
      <x:c r="F183" s="2" t="str">
        <x:v>U1</x:v>
      </x:c>
      <x:c r="G183" s="2" t="str">
        <x:v>F02</x:v>
      </x:c>
      <x:c r="H183" s="2" t="str">
        <x:v>Execution-flow and state correction</x:v>
      </x:c>
      <x:c r="I183" s="2" t="str">
        <x:v>Insufficient association evidence</x:v>
      </x:c>
      <x:c r="J183" s="2" t="str">
        <x:v>Recommended action: Recommended to complete the output of the current cyclic sub-brother node into the viewable state of the attribution node.</x:v>
      </x:c>
      <x:c r="K183" s="2" t="str">
        <x:v>The renaming and debugging of the abstract are not directly related; the problem is that the output of the twin-wheel nodes is not visible, and the variable state must be connected when running. This is an additional closest-fit assignment, not an established repair fact.</x:v>
      </x:c>
      <x:c r="L183" s="2" t="str">
        <x:v>One closest-fit strategy is selected as additionally requested.  The renaming and debugging of the abstract are not directly related; the problem is that the output of the twin-wheel nodes is not visible, and the variable state must be connected when running. This is an additional closest-fit assignment, not an established repair fact.  The original evidence review is U1; this does not establish that a targeted repair has been verified.</x:v>
      </x:c>
      <x:c r="M183" s="2" t="str">
        <x:v>https://github.com/langgenius/dify/issues/21225</x:v>
      </x:c>
      <x:c r="N183" s="2" t="str">
        <x:v>U1</x:v>
      </x:c>
      <x:c r="O183" s="2" t="str">
        <x:v>Inferred from the primary root cause</x:v>
      </x:c>
    </x:row>
    <x:row r="184" ht="48.5" customHeight="1">
      <x:c r="A184" s="2" t="str">
        <x:v>P0299</x:v>
      </x:c>
      <x:c r="B184" s="2" t="str">
        <x:v>langgenius/dify</x:v>
      </x:c>
      <x:c r="C184" s="2" t="n">
        <x:v>21619</x:v>
      </x:c>
      <x:c r="D184" s="2" t="str">
        <x:v>C14</x:v>
      </x:c>
      <x:c r="E184" s="2" t="str">
        <x:v>F04</x:v>
      </x:c>
      <x:c r="F184" s="2" t="str">
        <x:v>F04</x:v>
      </x:c>
      <x:c r="G184" s="2" t="str">
        <x:v>F04</x:v>
      </x:c>
      <x:c r="H184" s="2" t="str">
        <x:v>Environment and distribution adaptation</x:v>
      </x:c>
      <x:c r="I184" s="2" t="str">
        <x:v>Partial coverage</x:v>
      </x:c>
      <x:c r="J184" s="2" t="str">
        <x:v>Access URL for adding container internal files to plugins</x:v>
      </x:c>
      <x:c r="K184" s="2" t="str">
        <x:v>The focus is platform prerequisites, build dependencies, deployment, or installation/distribution artifacts.  Specific action: Adding container internal file access to URL for plugins.  root cause: Differentiate plugins from in-network access addresses and user offline download addresses, fixing Docker network accessibility</x:v>
      </x:c>
      <x:c r="L184" s="2" t="str">
        <x:v>The two sets of labels agree and the original decision is retained; see the original annotations for the action and its association with the root cause.</x:v>
      </x:c>
      <x:c r="M184" s="2" t="str">
        <x:v>https://github.com/langgenius/dify/issues/21619</x:v>
      </x:c>
      <x:c r="N184" s="2" t="str">
        <x:v>F04</x:v>
      </x:c>
      <x:c r="O184" s="2" t="str">
        <x:v>Determinate from available evidence</x:v>
      </x:c>
    </x:row>
    <x:row r="185" ht="48.5" customHeight="1">
      <x:c r="A185" s="2" t="str">
        <x:v>P0301</x:v>
      </x:c>
      <x:c r="B185" s="2" t="str">
        <x:v>langgenius/dify</x:v>
      </x:c>
      <x:c r="C185" s="2" t="n">
        <x:v>22866</x:v>
      </x:c>
      <x:c r="D185" s="2" t="str">
        <x:v>C02</x:v>
      </x:c>
      <x:c r="E185" s="2" t="str">
        <x:v>F01</x:v>
      </x:c>
      <x:c r="F185" s="2" t="str">
        <x:v>F01</x:v>
      </x:c>
      <x:c r="G185" s="2" t="str">
        <x:v>F01</x:v>
      </x:c>
      <x:c r="H185" s="2" t="str">
        <x:v>Representation and usage-contract alignment</x:v>
      </x:c>
      <x:c r="I185" s="2" t="str">
        <x:v>Recorded as implemented in the source data</x:v>
      </x:c>
      <x:c r="J185" s="2" t="str">
        <x:v>Uniform and mixed input front-end processing</x:v>
      </x:c>
      <x:c r="K185" s="2" t="str">
        <x:v>The focus is correcting content representation, field transmission, static associations, or prompt/usage contracts.  Specific action: Front-end processing of uniform and mixed inputs.  root cause response: Maintain model selection values and correctly preserve calibration</x:v>
      </x:c>
      <x:c r="L185" s="2" t="str">
        <x:v>The two sets of labels agree and the original decision is retained; see the original annotations for the action and its association with the root cause.</x:v>
      </x:c>
      <x:c r="M185" s="2" t="str">
        <x:v>https://github.com/langgenius/dify/issues/22866</x:v>
      </x:c>
      <x:c r="N185" s="2" t="str">
        <x:v>F01</x:v>
      </x:c>
      <x:c r="O185" s="2" t="str">
        <x:v>Determinate from available evidence</x:v>
      </x:c>
    </x:row>
    <x:row r="186" ht="48.5" customHeight="1">
      <x:c r="A186" s="2" t="str">
        <x:v>P0303</x:v>
      </x:c>
      <x:c r="B186" s="2" t="str">
        <x:v>langgenius/dify</x:v>
      </x:c>
      <x:c r="C186" s="2" t="n">
        <x:v>23463</x:v>
      </x:c>
      <x:c r="D186" s="2" t="str">
        <x:v>C02</x:v>
      </x:c>
      <x:c r="E186" s="2" t="str">
        <x:v>U1</x:v>
      </x:c>
      <x:c r="F186" s="2" t="str">
        <x:v>U1</x:v>
      </x:c>
      <x:c r="G186" s="2" t="str">
        <x:v>F01</x:v>
      </x:c>
      <x:c r="H186" s="2" t="str">
        <x:v>Representation and usage-contract alignment</x:v>
      </x:c>
      <x:c r="I186" s="2" t="str">
        <x:v>Implementation status pending verification</x:v>
      </x:c>
      <x:c r="J186" s="2" t="str">
        <x:v>Recommended action: Recommended installation of required symbols and default values in step execution.</x:v>
      </x:c>
      <x:c r="K186" s="2" t="str">
        <x:v>Summary Only numbered and corrected claims, by option parameters are corrected using the root cause recommendation parameter as required.  This is an additional closest-fit assignment, not an established repair fact.</x:v>
      </x:c>
      <x:c r="L186" s="2" t="str">
        <x:v>One closest-fit strategy is selected as additionally requested.  Summary Only numbered and corrected claims, by option parameters are corrected using the root cause recommendation parameter as required.  This is an additional closest-fit assignment, not an established repair fact.  The original evidence review is U1; this does not establish that a targeted repair has been verified.</x:v>
      </x:c>
      <x:c r="M186" s="2" t="str">
        <x:v>https://github.com/langgenius/dify/issues/23463</x:v>
      </x:c>
      <x:c r="N186" s="2" t="str">
        <x:v>U1</x:v>
      </x:c>
      <x:c r="O186" s="2" t="str">
        <x:v>Inferred from the primary root cause</x:v>
      </x:c>
    </x:row>
    <x:row r="187" ht="48.5" customHeight="1">
      <x:c r="A187" s="2" t="str">
        <x:v>P0306</x:v>
      </x:c>
      <x:c r="B187" s="2" t="str">
        <x:v>langgenius/dify</x:v>
      </x:c>
      <x:c r="C187" s="2" t="n">
        <x:v>24819</x:v>
      </x:c>
      <x:c r="D187" s="2" t="str">
        <x:v>C02</x:v>
      </x:c>
      <x:c r="E187" s="2" t="str">
        <x:v>F01</x:v>
      </x:c>
      <x:c r="F187" s="2" t="str">
        <x:v>F01</x:v>
      </x:c>
      <x:c r="G187" s="2" t="str">
        <x:v>F01</x:v>
      </x:c>
      <x:c r="H187" s="2" t="str">
        <x:v>Representation and usage-contract alignment</x:v>
      </x:c>
      <x:c r="I187" s="2" t="str">
        <x:v>Recorded as implemented in the source data</x:v>
      </x:c>
      <x:c r="J187" s="2" t="str">
        <x:v>tool results of top-level arrays with numeric strings</x:v>
      </x:c>
      <x:c r="K187" s="2" t="str">
        <x:v>The focus is correcting content representation, field transmission, static associations, or prompt/usage contracts.  Concrete action: tool results of top-level arrays with digital strings.  root cause response: Failure of the dict test to incorporate MCP array output into acceptable processing rather than directly</x:v>
      </x:c>
      <x:c r="L187" s="2" t="str">
        <x:v>The two sets of labels agree and the original decision is retained; see the original annotations for the action and its association with the root cause.</x:v>
      </x:c>
      <x:c r="M187" s="2" t="str">
        <x:v>https://github.com/langgenius/dify/issues/24819</x:v>
      </x:c>
      <x:c r="N187" s="2" t="str">
        <x:v>F01</x:v>
      </x:c>
      <x:c r="O187" s="2" t="str">
        <x:v>Determinate from available evidence</x:v>
      </x:c>
    </x:row>
    <x:row r="188" ht="35" customHeight="1">
      <x:c r="A188" s="2" t="str">
        <x:v>P0309</x:v>
      </x:c>
      <x:c r="B188" s="2" t="str">
        <x:v>langgenius/dify</x:v>
      </x:c>
      <x:c r="C188" s="2" t="n">
        <x:v>26511</x:v>
      </x:c>
      <x:c r="D188" s="2" t="str">
        <x:v>C24</x:v>
      </x:c>
      <x:c r="E188" s="2" t="str">
        <x:v>F02</x:v>
      </x:c>
      <x:c r="F188" s="2" t="str">
        <x:v>F02</x:v>
      </x:c>
      <x:c r="G188" s="2" t="str">
        <x:v>F02</x:v>
      </x:c>
      <x:c r="H188" s="2" t="str">
        <x:v>Execution-flow and state correction</x:v>
      </x:c>
      <x:c r="I188" s="2" t="str">
        <x:v>Recorded as implemented in the source data</x:v>
      </x:c>
      <x:c r="J188" s="2" t="str">
        <x:v>ORM cached value before submission</x:v>
      </x:c>
      <x:c r="K188" s="2" t="str">
        <x:v>The focus is state selection, execution progression, scope, or lifecycle management in the normal path.  Specific action: caching ORM before submission.  root cause Response: Avoid out-of-session access to expired ORM attributes</x:v>
      </x:c>
      <x:c r="L188" s="2" t="str">
        <x:v>The two sets of labels agree and the original decision is retained; see the original annotations for the action and its association with the root cause.</x:v>
      </x:c>
      <x:c r="M188" s="2" t="str">
        <x:v>https://github.com/langgenius/dify/issues/26511</x:v>
      </x:c>
      <x:c r="N188" s="2" t="str">
        <x:v>F02</x:v>
      </x:c>
      <x:c r="O188" s="2" t="str">
        <x:v>Determinate from available evidence</x:v>
      </x:c>
    </x:row>
    <x:row r="189" ht="48.5" customHeight="1">
      <x:c r="A189" s="2" t="str">
        <x:v>P0320</x:v>
      </x:c>
      <x:c r="B189" s="2" t="str">
        <x:v>langgenius/dify</x:v>
      </x:c>
      <x:c r="C189" s="2" t="n">
        <x:v>32518</x:v>
      </x:c>
      <x:c r="D189" s="2" t="str">
        <x:v>C11</x:v>
      </x:c>
      <x:c r="E189" s="2" t="str">
        <x:v>F02</x:v>
      </x:c>
      <x:c r="F189" s="2" t="str">
        <x:v>F02</x:v>
      </x:c>
      <x:c r="G189" s="2" t="str">
        <x:v>F02</x:v>
      </x:c>
      <x:c r="H189" s="2" t="str">
        <x:v>Execution-flow and state correction</x:v>
      </x:c>
      <x:c r="I189" s="2" t="str">
        <x:v>Recorded as implemented in the source data</x:v>
      </x:c>
      <x:c r="J189" s="2" t="str">
        <x:v>Subscribe immediately in exchange for a persistent stream</x:v>
      </x:c>
      <x:c r="K189" s="2" t="str">
        <x:v>The focus is state selection, execution progression, scope, or lifecycle management in the normal path.  Specific action: Subscribe immediately to the subscription instead of the permanent stream.  root cause Response: Redis Streams consumption no longer relies on subscriptions prior to mission release</x:v>
      </x:c>
      <x:c r="L189" s="2" t="str">
        <x:v>The two sets of labels agree and the original decision is retained; see the original annotations for the action and its association with the root cause.</x:v>
      </x:c>
      <x:c r="M189" s="2" t="str">
        <x:v>https://github.com/langgenius/dify/issues/32518</x:v>
      </x:c>
      <x:c r="N189" s="2" t="str">
        <x:v>F02</x:v>
      </x:c>
      <x:c r="O189" s="2" t="str">
        <x:v>Determinate from available evidence</x:v>
      </x:c>
    </x:row>
    <x:row r="190" ht="35" customHeight="1">
      <x:c r="A190" s="2" t="str">
        <x:v>P0321</x:v>
      </x:c>
      <x:c r="B190" s="2" t="str">
        <x:v>langgenius/dify</x:v>
      </x:c>
      <x:c r="C190" s="2" t="n">
        <x:v>33156</x:v>
      </x:c>
      <x:c r="D190" s="2" t="str">
        <x:v>C12</x:v>
      </x:c>
      <x:c r="E190" s="2" t="str">
        <x:v>F03</x:v>
      </x:c>
      <x:c r="F190" s="2" t="str">
        <x:v>F03</x:v>
      </x:c>
      <x:c r="G190" s="2" t="str">
        <x:v>F03</x:v>
      </x:c>
      <x:c r="H190" s="2" t="str">
        <x:v>Validation and failure-path hardening</x:v>
      </x:c>
      <x:c r="I190" s="2" t="str">
        <x:v>Implementation status pending verification</x:v>
      </x:c>
      <x:c r="J190" s="2" t="str">
        <x:v>MIME field null defenses and default types</x:v>
      </x:c>
      <x:c r="K190" s="2" t="str">
        <x:v>The focus is validation, controlled rejection, exception classification, or fallback after failure.  Specific action: MIME field null defenses and default types.  root cause response: missing type no longer directly split and causes file interfaces to crash</x:v>
      </x:c>
      <x:c r="L190" s="2" t="str">
        <x:v>The two sets of labels agree and the original decision is retained; see the original annotations for the action and its association with the root cause.</x:v>
      </x:c>
      <x:c r="M190" s="2" t="str">
        <x:v>https://github.com/langgenius/dify/issues/33156</x:v>
      </x:c>
      <x:c r="N190" s="2" t="str">
        <x:v>F03</x:v>
      </x:c>
      <x:c r="O190" s="2" t="str">
        <x:v>Determinate from available evidence</x:v>
      </x:c>
    </x:row>
    <x:row r="191" ht="48.5" customHeight="1">
      <x:c r="A191" s="2" t="str">
        <x:v>P0323</x:v>
      </x:c>
      <x:c r="B191" s="2" t="str">
        <x:v>langgenius/dify</x:v>
      </x:c>
      <x:c r="C191" s="2" t="n">
        <x:v>33404</x:v>
      </x:c>
      <x:c r="D191" s="2" t="str">
        <x:v>C01</x:v>
      </x:c>
      <x:c r="E191" s="2" t="str">
        <x:v>F01</x:v>
      </x:c>
      <x:c r="F191" s="2" t="str">
        <x:v>F01</x:v>
      </x:c>
      <x:c r="G191" s="2" t="str">
        <x:v>F01</x:v>
      </x:c>
      <x:c r="H191" s="2" t="str">
        <x:v>Representation and usage-contract alignment</x:v>
      </x:c>
      <x:c r="I191" s="2" t="str">
        <x:v>Recorded as implemented in the source data</x:v>
      </x:c>
      <x:c r="J191" s="2" t="str">
        <x:v>Standardize the resource metadata addresses for missing scheme</x:v>
      </x:c>
      <x:c r="K191" s="2" t="str">
        <x:v>The focus is correcting content representation, field transmission, static associations, or prompt/usage contracts.  Specific Action: Standardize the resource metadata addresses of scheme-lack.  root cause response: Compatibility service end incomplete URL, avoiding OAuth detecting a direct failure of the test</x:v>
      </x:c>
      <x:c r="L191" s="2" t="str">
        <x:v>The two sets of labels agree and the original decision is retained; see the original annotations for the action and its association with the root cause.</x:v>
      </x:c>
      <x:c r="M191" s="2" t="str">
        <x:v>https://github.com/langgenius/dify/issues/33404</x:v>
      </x:c>
      <x:c r="N191" s="2" t="str">
        <x:v>F01</x:v>
      </x:c>
      <x:c r="O191" s="2" t="str">
        <x:v>Determinate from available evidence</x:v>
      </x:c>
    </x:row>
    <x:row r="192" ht="35" customHeight="1">
      <x:c r="A192" s="2" t="str">
        <x:v>P0326</x:v>
      </x:c>
      <x:c r="B192" s="2" t="str">
        <x:v>langgenius/dify</x:v>
      </x:c>
      <x:c r="C192" s="2" t="n">
        <x:v>34867</x:v>
      </x:c>
      <x:c r="D192" s="2" t="str">
        <x:v>C12</x:v>
      </x:c>
      <x:c r="E192" s="2" t="str">
        <x:v>F03</x:v>
      </x:c>
      <x:c r="F192" s="2" t="str">
        <x:v>F03</x:v>
      </x:c>
      <x:c r="G192" s="2" t="str">
        <x:v>F03</x:v>
      </x:c>
      <x:c r="H192" s="2" t="str">
        <x:v>Validation and failure-path hardening</x:v>
      </x:c>
      <x:c r="I192" s="2" t="str">
        <x:v>Recorded as implemented in the source data</x:v>
      </x:c>
      <x:c r="J192" s="2" t="str">
        <x:v>JSON decoding and empty server indexing anomalies</x:v>
      </x:c>
      <x:c r="K192" s="2" t="str">
        <x:v>The focus is validation, controlled rejection, exception classification, or fallback after failure.  Specific action: Additional JSON decoding and empty server indexing anomalies.  root cause Response: Failure of missing response analysis with boundary to cover OAuth findings</x:v>
      </x:c>
      <x:c r="L192" s="2" t="str">
        <x:v>The two sets of labels agree and the original decision is retained; see the original annotations for the action and its association with the root cause.</x:v>
      </x:c>
      <x:c r="M192" s="2" t="str">
        <x:v>https://github.com/langgenius/dify/issues/34867</x:v>
      </x:c>
      <x:c r="N192" s="2" t="str">
        <x:v>F03</x:v>
      </x:c>
      <x:c r="O192" s="2" t="str">
        <x:v>Determinate from available evidence</x:v>
      </x:c>
    </x:row>
    <x:row r="193" ht="35" customHeight="1">
      <x:c r="A193" s="2" t="str">
        <x:v>P0328</x:v>
      </x:c>
      <x:c r="B193" s="2" t="str">
        <x:v>langgenius/dify</x:v>
      </x:c>
      <x:c r="C193" s="2" t="n">
        <x:v>35694</x:v>
      </x:c>
      <x:c r="D193" s="2" t="str">
        <x:v>C02</x:v>
      </x:c>
      <x:c r="E193" s="2" t="str">
        <x:v>F04</x:v>
      </x:c>
      <x:c r="F193" s="2" t="str">
        <x:v>F01</x:v>
      </x:c>
      <x:c r="G193" s="2" t="str">
        <x:v>F01</x:v>
      </x:c>
      <x:c r="H193" s="2" t="str">
        <x:v>Representation and usage-contract alignment</x:v>
      </x:c>
      <x:c r="I193" s="2" t="str">
        <x:v>Recorded as implemented in the source data</x:v>
      </x:c>
      <x:c r="J193" s="2" t="str">
        <x:v>Upgrade graphon and migrate node running time</x:v>
      </x:c>
      <x:c r="K193" s="2" t="str">
        <x:v>Material explicitly migrates models when running and constructs with nodes to fit new tests, not just dependent versions; attributable interface structure adapts but not fictional local diff.</x:v>
      </x:c>
      <x:c r="L193" s="2" t="str">
        <x:v>Integrating task back-checking freeze source material: the material explicitly migrates the model when running and is constructed with nodes to fit new calibration tests, not just dependent versions; attributable interface structure adapts but not fictional local diff.</x:v>
      </x:c>
      <x:c r="M193" s="2" t="str">
        <x:v>https://github.com/langgenius/dify/issues/35694</x:v>
      </x:c>
      <x:c r="N193" s="2" t="str">
        <x:v>F01</x:v>
      </x:c>
      <x:c r="O193" s="2" t="str">
        <x:v>Determinate from available evidence</x:v>
      </x:c>
    </x:row>
    <x:row r="194" ht="48.5" customHeight="1">
      <x:c r="A194" s="2" t="str">
        <x:v>P0329</x:v>
      </x:c>
      <x:c r="B194" s="2" t="str">
        <x:v>langgenius/dify</x:v>
      </x:c>
      <x:c r="C194" s="2" t="n">
        <x:v>35822</x:v>
      </x:c>
      <x:c r="D194" s="2" t="str">
        <x:v>C02</x:v>
      </x:c>
      <x:c r="E194" s="2" t="str">
        <x:v>F01</x:v>
      </x:c>
      <x:c r="F194" s="2" t="str">
        <x:v>F01</x:v>
      </x:c>
      <x:c r="G194" s="2" t="str">
        <x:v>F01</x:v>
      </x:c>
      <x:c r="H194" s="2" t="str">
        <x:v>Representation and usage-contract alignment</x:v>
      </x:c>
      <x:c r="I194" s="2" t="str">
        <x:v>Recorded as implemented in the source data</x:v>
      </x:c>
      <x:c r="J194" s="2" t="str">
        <x:v>Maintain the selector dictionary and combine tool running parameters</x:v>
      </x:c>
      <x:c r="K194" s="2" t="str">
        <x:v>The focus is correcting content representation, field transmission, static associations, or prompt/usage contracts.  Specific action: Preserving the selector dictionary and merging tool running parameters.  root cause Response: Contracts for the type of framework that prevent selector strings from disrupting</x:v>
      </x:c>
      <x:c r="L194" s="2" t="str">
        <x:v>The two sets of labels agree and the original decision is retained; see the original annotations for the action and its association with the root cause.</x:v>
      </x:c>
      <x:c r="M194" s="2" t="str">
        <x:v>https://github.com/langgenius/dify/issues/35822</x:v>
      </x:c>
      <x:c r="N194" s="2" t="str">
        <x:v>F01</x:v>
      </x:c>
      <x:c r="O194" s="2" t="str">
        <x:v>Determinate from available evidence</x:v>
      </x:c>
    </x:row>
    <x:row r="195" ht="48.5" customHeight="1">
      <x:c r="A195" s="2" t="str">
        <x:v>P0331</x:v>
      </x:c>
      <x:c r="B195" s="2" t="str">
        <x:v>langgenius/dify</x:v>
      </x:c>
      <x:c r="C195" s="2" t="n">
        <x:v>36736</x:v>
      </x:c>
      <x:c r="D195" s="2" t="str">
        <x:v>C05</x:v>
      </x:c>
      <x:c r="E195" s="2" t="str">
        <x:v>F01</x:v>
      </x:c>
      <x:c r="F195" s="2" t="str">
        <x:v>F01</x:v>
      </x:c>
      <x:c r="G195" s="2" t="str">
        <x:v>F01</x:v>
      </x:c>
      <x:c r="H195" s="2" t="str">
        <x:v>Representation and usage-contract alignment</x:v>
      </x:c>
      <x:c r="I195" s="2" t="str">
        <x:v>Recorded as implemented in the source data</x:v>
      </x:c>
      <x:c r="J195" s="2" t="str">
        <x:v>Users search for added session_id bottom after explicit ID</x:v>
      </x:c>
      <x:c r="K195" s="2" t="str">
        <x:v>session_id is the second search key for a legitimate user ID, correcting statically associated F01, after non-abnormal general fallback.  root cause response: The reverse invocation stabilizes the same EndUser hit, avoiding missing a meeting every new round.</x:v>
      </x:c>
      <x:c r="L195" s="2" t="str">
        <x:v>The two sets of labels agree and the original decision is retained; see the original annotations for the action and its association with the root cause.</x:v>
      </x:c>
      <x:c r="M195" s="2" t="str">
        <x:v>https://github.com/langgenius/dify/issues/36736</x:v>
      </x:c>
      <x:c r="N195" s="2" t="str">
        <x:v>F01</x:v>
      </x:c>
      <x:c r="O195" s="2" t="str">
        <x:v>Determinate from available evidence</x:v>
      </x:c>
    </x:row>
    <x:row r="196" ht="48.5" customHeight="1">
      <x:c r="A196" s="2" t="str">
        <x:v>P0332</x:v>
      </x:c>
      <x:c r="B196" s="2" t="str">
        <x:v>langgenius/dify</x:v>
      </x:c>
      <x:c r="C196" s="2" t="n">
        <x:v>37645</x:v>
      </x:c>
      <x:c r="D196" s="2" t="str">
        <x:v>C05</x:v>
      </x:c>
      <x:c r="E196" s="2" t="str">
        <x:v>F01</x:v>
      </x:c>
      <x:c r="F196" s="2" t="str">
        <x:v>F01</x:v>
      </x:c>
      <x:c r="G196" s="2" t="str">
        <x:v>F01</x:v>
      </x:c>
      <x:c r="H196" s="2" t="str">
        <x:v>Representation and usage-contract alignment</x:v>
      </x:c>
      <x:c r="I196" s="2" t="str">
        <x:v>Implementation status pending verification</x:v>
      </x:c>
      <x:c r="J196" s="2" t="str">
        <x:v>Accurately matching and tracking entries by performing ID</x:v>
      </x:c>
      <x:c r="K196" s="2" t="str">
        <x:v>The focus is correcting content representation, field transmission, static associations, or prompt/usage contracts.  Specific Action: Accurately matching and tracking items according to ID execution.  root cause Response: Remove redundant parallel_id checks to avoid updates from the same node attached to other branches</x:v>
      </x:c>
      <x:c r="L196" s="2" t="str">
        <x:v>The two sets of labels agree and the original decision is retained; see the original annotations for the action and its association with the root cause.</x:v>
      </x:c>
      <x:c r="M196" s="2" t="str">
        <x:v>https://github.com/langgenius/dify/issues/37645</x:v>
      </x:c>
      <x:c r="N196" s="2" t="str">
        <x:v>F01</x:v>
      </x:c>
      <x:c r="O196" s="2" t="str">
        <x:v>Determinate from available evidence</x:v>
      </x:c>
    </x:row>
    <x:row r="197" ht="48.5" customHeight="1">
      <x:c r="A197" s="2" t="str">
        <x:v>P0333</x:v>
      </x:c>
      <x:c r="B197" s="2" t="str">
        <x:v>langgenius/dify</x:v>
      </x:c>
      <x:c r="C197" s="2" t="n">
        <x:v>38176</x:v>
      </x:c>
      <x:c r="D197" s="2" t="str">
        <x:v>C24</x:v>
      </x:c>
      <x:c r="E197" s="2" t="str">
        <x:v>F02</x:v>
      </x:c>
      <x:c r="F197" s="2" t="str">
        <x:v>F02</x:v>
      </x:c>
      <x:c r="G197" s="2" t="str">
        <x:v>F02</x:v>
      </x:c>
      <x:c r="H197" s="2" t="str">
        <x:v>Execution-flow and state correction</x:v>
      </x:c>
      <x:c r="I197" s="2" t="str">
        <x:v>Recorded as implemented in the source data</x:v>
      </x:c>
      <x:c r="J197" s="2" t="str">
        <x:v>Adverse reactions to write-in sessions using independent databases</x:v>
      </x:c>
      <x:c r="K197" s="2" t="str">
        <x:v>The focus is state selection, execution progression, scope, or lifecycle management in the normal path.  Specific Action: Side effects written to a session using an independent database.  root cause Response: Avoid requests to share commit sequential flush non-target records</x:v>
      </x:c>
      <x:c r="L197" s="2" t="str">
        <x:v>The two sets of labels agree and the original decision is retained; see the original annotations for the action and its association with the root cause.</x:v>
      </x:c>
      <x:c r="M197" s="2" t="str">
        <x:v>https://github.com/langgenius/dify/issues/38176</x:v>
      </x:c>
      <x:c r="N197" s="2" t="str">
        <x:v>F02</x:v>
      </x:c>
      <x:c r="O197" s="2" t="str">
        <x:v>Determinate from available evidence</x:v>
      </x:c>
    </x:row>
    <x:row r="198" ht="48.5" customHeight="1">
      <x:c r="A198" s="2" t="str">
        <x:v>P0334</x:v>
      </x:c>
      <x:c r="B198" s="2" t="str">
        <x:v>langgenius/dify</x:v>
      </x:c>
      <x:c r="C198" s="2" t="n">
        <x:v>39512</x:v>
      </x:c>
      <x:c r="D198" s="2" t="str">
        <x:v>C12</x:v>
      </x:c>
      <x:c r="E198" s="2" t="str">
        <x:v>F01</x:v>
      </x:c>
      <x:c r="F198" s="2" t="str">
        <x:v>F01</x:v>
      </x:c>
      <x:c r="G198" s="2" t="str">
        <x:v>F01</x:v>
      </x:c>
      <x:c r="H198" s="2" t="str">
        <x:v>Representation and usage-contract alignment</x:v>
      </x:c>
      <x:c r="I198" s="2" t="str">
        <x:v>Recorded as implemented in the source data</x:v>
      </x:c>
      <x:c r="J198" s="2" t="str">
        <x:v>Complete tool to provide metadata and force enumeration constraints</x:v>
      </x:c>
      <x:c r="K198" s="2" t="str">
        <x:v>The focus is correcting content representation, field transmission, static associations, or prompt/usage contracts.  Specific Action: Complementing tool to provide quadratic data and compelling enumeration constraints.  root cause Response: Log queries are no longer mistaken for empty provider_type charts</x:v>
      </x:c>
      <x:c r="L198" s="2" t="str">
        <x:v>The two sets of labels agree and the original decision is retained; see the original annotations for the action and its association with the root cause.</x:v>
      </x:c>
      <x:c r="M198" s="2" t="str">
        <x:v>https://github.com/langgenius/dify/issues/39512</x:v>
      </x:c>
      <x:c r="N198" s="2" t="str">
        <x:v>F01</x:v>
      </x:c>
      <x:c r="O198" s="2" t="str">
        <x:v>Determinate from available evidence</x:v>
      </x:c>
    </x:row>
    <x:row r="199" ht="35" customHeight="1">
      <x:c r="A199" s="2" t="str">
        <x:v>P0335</x:v>
      </x:c>
      <x:c r="B199" s="2" t="str">
        <x:v>langgenius/dify</x:v>
      </x:c>
      <x:c r="C199" s="2" t="n">
        <x:v>39666</x:v>
      </x:c>
      <x:c r="D199" s="2" t="str">
        <x:v>C01</x:v>
      </x:c>
      <x:c r="E199" s="2" t="str">
        <x:v>F03</x:v>
      </x:c>
      <x:c r="F199" s="2" t="str">
        <x:v>F03</x:v>
      </x:c>
      <x:c r="G199" s="2" t="str">
        <x:v>F03</x:v>
      </x:c>
      <x:c r="H199" s="2" t="str">
        <x:v>Validation and failure-path hardening</x:v>
      </x:c>
      <x:c r="I199" s="2" t="str">
        <x:v>Recorded as implemented in the source data</x:v>
      </x:c>
      <x:c r="J199" s="2" t="str">
        <x:v>Name test changed to full match</x:v>
      </x:c>
      <x:c r="K199" s="2" t="str">
        <x:v>The focus is validation, controlled rejection, exception classification, or fallback after failure.  Concrete action: name test to change the full match.  root cause response: refusing to follow the dollar bill's permission to change course, executing a real character set contract</x:v>
      </x:c>
      <x:c r="L199" s="2" t="str">
        <x:v>The two sets of labels agree and the original decision is retained; see the original annotations for the action and its association with the root cause.</x:v>
      </x:c>
      <x:c r="M199" s="2" t="str">
        <x:v>https://github.com/langgenius/dify/issues/39666</x:v>
      </x:c>
      <x:c r="N199" s="2" t="str">
        <x:v>F03</x:v>
      </x:c>
      <x:c r="O199" s="2" t="str">
        <x:v>Determinate from available evidence</x:v>
      </x:c>
    </x:row>
    <x:row r="200" ht="35" customHeight="1">
      <x:c r="A200" s="2" t="str">
        <x:v>P0337</x:v>
      </x:c>
      <x:c r="B200" s="2" t="str">
        <x:v>langgenius/dify</x:v>
      </x:c>
      <x:c r="C200" s="2" t="n">
        <x:v>41324</x:v>
      </x:c>
      <x:c r="D200" s="2" t="str">
        <x:v>C15</x:v>
      </x:c>
      <x:c r="E200" s="2" t="str">
        <x:v>F03</x:v>
      </x:c>
      <x:c r="F200" s="2" t="str">
        <x:v>F03</x:v>
      </x:c>
      <x:c r="G200" s="2" t="str">
        <x:v>F03</x:v>
      </x:c>
      <x:c r="H200" s="2" t="str">
        <x:v>Validation and failure-path hardening</x:v>
      </x:c>
      <x:c r="I200" s="2" t="str">
        <x:v>Recorded as implemented in the source data</x:v>
      </x:c>
      <x:c r="J200" s="2" t="str">
        <x:v>Read Interface Management of authorization Decorators in the work area</x:v>
      </x:c>
      <x:c r="K200" s="2" t="str">
        <x:v>The focus is validation, controlled rejection, exception classification, or fallback after failure.  Specific action: read the authorization decorators in the Interface Supplemental Workspace.    root cause Counterpart: completed GET and PUT Between missing  RBAC Boundary</x:v>
      </x:c>
      <x:c r="L200" s="2" t="str">
        <x:v>The two sets of labels agree and the original decision is retained; see the original annotations for the action and its association with the root cause.</x:v>
      </x:c>
      <x:c r="M200" s="2" t="str">
        <x:v>https://github.com/langgenius/dify/issues/41324</x:v>
      </x:c>
      <x:c r="N200" s="2" t="str">
        <x:v>F03</x:v>
      </x:c>
      <x:c r="O200" s="2" t="str">
        <x:v>Determinate from available evidence</x:v>
      </x:c>
    </x:row>
    <x:row r="201" ht="35" customHeight="1">
      <x:c r="A201" s="2" t="str">
        <x:v>P0359</x:v>
      </x:c>
      <x:c r="B201" s="2" t="str">
        <x:v>open-webui/open-webui</x:v>
      </x:c>
      <x:c r="C201" s="2" t="n">
        <x:v>19414</x:v>
      </x:c>
      <x:c r="D201" s="2" t="str">
        <x:v>C12</x:v>
      </x:c>
      <x:c r="E201" s="2" t="str">
        <x:v>F03</x:v>
      </x:c>
      <x:c r="F201" s="2" t="str">
        <x:v>F03</x:v>
      </x:c>
      <x:c r="G201" s="2" t="str">
        <x:v>F03</x:v>
      </x:c>
      <x:c r="H201" s="2" t="str">
        <x:v>Validation and failure-path hardening</x:v>
      </x:c>
      <x:c r="I201" s="2" t="str">
        <x:v>Recorded as implemented in the source data</x:v>
      </x:c>
      <x:c r="J201" s="2" t="str">
        <x:v>Save the unusual error-correcting processing and restore the interaction status</x:v>
      </x:c>
      <x:c r="K201" s="2" t="str">
        <x:v>Save Failure Processing with loading Restore to Failure Path F03.  root cause response: Unlawful JSON fails to permanently allow loading to save buttons</x:v>
      </x:c>
      <x:c r="L201" s="2" t="str">
        <x:v>The two sets of labels agree and the original decision is retained; see the original annotations for the action and its association with the root cause.</x:v>
      </x:c>
      <x:c r="M201" s="2" t="str">
        <x:v>https://github.com/open-webui/open-webui/issues/19414</x:v>
      </x:c>
      <x:c r="N201" s="2" t="str">
        <x:v>F03</x:v>
      </x:c>
      <x:c r="O201" s="2" t="str">
        <x:v>Determinate from available evidence</x:v>
      </x:c>
    </x:row>
    <x:row r="202" ht="48.5" customHeight="1">
      <x:c r="A202" s="2" t="str">
        <x:v>P0363</x:v>
      </x:c>
      <x:c r="B202" s="2" t="str">
        <x:v>open-webui/open-webui</x:v>
      </x:c>
      <x:c r="C202" s="2" t="n">
        <x:v>22154</x:v>
      </x:c>
      <x:c r="D202" s="2" t="str">
        <x:v>C08</x:v>
      </x:c>
      <x:c r="E202" s="2" t="str">
        <x:v>F02</x:v>
      </x:c>
      <x:c r="F202" s="2" t="str">
        <x:v>F02</x:v>
      </x:c>
      <x:c r="G202" s="2" t="str">
        <x:v>F02</x:v>
      </x:c>
      <x:c r="H202" s="2" t="str">
        <x:v>Execution-flow and state correction</x:v>
      </x:c>
      <x:c r="I202" s="2" t="str">
        <x:v>Recorded as implemented in the source data</x:v>
      </x:c>
      <x:c r="J202" s="2" t="str">
        <x:v>tool generations to save recovery system messages</x:v>
      </x:c>
      <x:c r="K202" s="2" t="str">
        <x:v>The focus is state selection, execution progression, scope, or lifecycle management in the normal path.  Specific action: Save system messages to recover between tool generations.  root cause Response: Avoid repeatedly adding pollution tips to RAG templates every round</x:v>
      </x:c>
      <x:c r="L202" s="2" t="str">
        <x:v>The two sets of labels agree and the original decision is retained; see the original annotations for the action and its association with the root cause.</x:v>
      </x:c>
      <x:c r="M202" s="2" t="str">
        <x:v>https://github.com/open-webui/open-webui/issues/22154</x:v>
      </x:c>
      <x:c r="N202" s="2" t="str">
        <x:v>F02</x:v>
      </x:c>
      <x:c r="O202" s="2" t="str">
        <x:v>Determinate from available evidence</x:v>
      </x:c>
    </x:row>
    <x:row r="203" ht="48.5" customHeight="1">
      <x:c r="A203" s="2" t="str">
        <x:v>P0365</x:v>
      </x:c>
      <x:c r="B203" s="2" t="str">
        <x:v>open-webui/open-webui</x:v>
      </x:c>
      <x:c r="C203" s="2" t="n">
        <x:v>22393</x:v>
      </x:c>
      <x:c r="D203" s="2" t="str">
        <x:v>C19</x:v>
      </x:c>
      <x:c r="E203" s="2" t="str">
        <x:v>F01</x:v>
      </x:c>
      <x:c r="F203" s="2" t="str">
        <x:v>F01</x:v>
      </x:c>
      <x:c r="G203" s="2" t="str">
        <x:v>F01</x:v>
      </x:c>
      <x:c r="H203" s="2" t="str">
        <x:v>Representation and usage-contract alignment</x:v>
      </x:c>
      <x:c r="I203" s="2" t="str">
        <x:v>Recorded as implemented in the source data</x:v>
      </x:c>
      <x:c r="J203" s="2" t="str">
        <x:v>Added permission filtering function input</x:v>
      </x:c>
      <x:c r="K203" s="2" t="str">
        <x:v>The focus is correcting content representation, field transmission, static associations, or prompt/usage contracts.  Specific action: Completing the permission Filter Function Import.  root cause Response: Let tool list access controls be executed without NameError collapsing</x:v>
      </x:c>
      <x:c r="L203" s="2" t="str">
        <x:v>The two sets of labels agree and the original decision is retained; see the original annotations for the action and its association with the root cause.</x:v>
      </x:c>
      <x:c r="M203" s="2" t="str">
        <x:v>https://github.com/open-webui/open-webui/issues/22393</x:v>
      </x:c>
      <x:c r="N203" s="2" t="str">
        <x:v>F01</x:v>
      </x:c>
      <x:c r="O203" s="2" t="str">
        <x:v>Determinate from available evidence</x:v>
      </x:c>
    </x:row>
    <x:row r="204" ht="35" customHeight="1">
      <x:c r="A204" s="2" t="str">
        <x:v>P0373</x:v>
      </x:c>
      <x:c r="B204" s="2" t="str">
        <x:v>open-webui/open-webui</x:v>
      </x:c>
      <x:c r="C204" s="2" t="n">
        <x:v>25994</x:v>
      </x:c>
      <x:c r="D204" s="2" t="str">
        <x:v>C23</x:v>
      </x:c>
      <x:c r="E204" s="2" t="str">
        <x:v>F01</x:v>
      </x:c>
      <x:c r="F204" s="2" t="str">
        <x:v>F01</x:v>
      </x:c>
      <x:c r="G204" s="2" t="str">
        <x:v>F01</x:v>
      </x:c>
      <x:c r="H204" s="2" t="str">
        <x:v>Representation and usage-contract alignment</x:v>
      </x:c>
      <x:c r="I204" s="2" t="str">
        <x:v>Implementation status pending verification</x:v>
      </x:c>
      <x:c r="J204" s="2" t="str">
        <x:v>Fixed cloud search key environment variable reading</x:v>
      </x:c>
      <x:c r="K204" s="2" t="str">
        <x:v>The focus is correcting content representation, field transmission, static associations, or prompt/usage contracts.  Specific action: Modify cloud search key environment variable reading.  root cause Response: Let the actual config key enter the request identification head</x:v>
      </x:c>
      <x:c r="L204" s="2" t="str">
        <x:v>The two sets of labels agree and the original decision is retained; see the original annotations for the action and its association with the root cause.</x:v>
      </x:c>
      <x:c r="M204" s="2" t="str">
        <x:v>https://github.com/open-webui/open-webui/issues/25994</x:v>
      </x:c>
      <x:c r="N204" s="2" t="str">
        <x:v>F01</x:v>
      </x:c>
      <x:c r="O204" s="2" t="str">
        <x:v>Determinate from available evidence</x:v>
      </x:c>
    </x:row>
    <x:row r="205" ht="35" customHeight="1">
      <x:c r="A205" s="2" t="str">
        <x:v>P0374</x:v>
      </x:c>
      <x:c r="B205" s="2" t="str">
        <x:v>open-webui/open-webui</x:v>
      </x:c>
      <x:c r="C205" s="2" t="n">
        <x:v>26141</x:v>
      </x:c>
      <x:c r="D205" s="2" t="str">
        <x:v>C15</x:v>
      </x:c>
      <x:c r="E205" s="2" t="str">
        <x:v>F02</x:v>
      </x:c>
      <x:c r="F205" s="2" t="str">
        <x:v>F03</x:v>
      </x:c>
      <x:c r="G205" s="2" t="str">
        <x:v>F02</x:v>
      </x:c>
      <x:c r="H205" s="2" t="str">
        <x:v>Execution-flow and state correction</x:v>
      </x:c>
      <x:c r="I205" s="2" t="str">
        <x:v>Implementation status pending verification</x:v>
      </x:c>
      <x:c r="J205" s="2" t="str">
        <x:v>Returns OAuth expired default value to refreshable capacity</x:v>
      </x:c>
      <x:c r="K205" s="2" t="str">
        <x:v>Changes to normal token expiration strategies based on refresh_token's set validity period and renewal lifecycle.</x:v>
      </x:c>
      <x:c r="L205" s="2" t="str">
        <x:v>Reconciling tasks to check source information: basis refresh_token Set the life cycle and refresh it to change normal token Expiry Policy.</x:v>
      </x:c>
      <x:c r="M205" s="2" t="str">
        <x:v>https://github.com/open-webui/open-webui/issues/26141</x:v>
      </x:c>
      <x:c r="N205" s="2" t="str">
        <x:v>F02</x:v>
      </x:c>
      <x:c r="O205" s="2" t="str">
        <x:v>Determinate from available evidence</x:v>
      </x:c>
    </x:row>
    <x:row r="206" ht="35" customHeight="1">
      <x:c r="A206" s="2" t="str">
        <x:v>P0377</x:v>
      </x:c>
      <x:c r="B206" s="2" t="str">
        <x:v>open-webui/open-webui</x:v>
      </x:c>
      <x:c r="C206" s="2" t="n">
        <x:v>28292</x:v>
      </x:c>
      <x:c r="D206" s="2" t="str">
        <x:v>C08</x:v>
      </x:c>
      <x:c r="E206" s="2" t="str">
        <x:v>F01</x:v>
      </x:c>
      <x:c r="F206" s="2" t="str">
        <x:v>F01</x:v>
      </x:c>
      <x:c r="G206" s="2" t="str">
        <x:v>F01</x:v>
      </x:c>
      <x:c r="H206" s="2" t="str">
        <x:v>Representation and usage-contract alignment</x:v>
      </x:c>
      <x:c r="I206" s="2" t="str">
        <x:v>Implementation status pending verification</x:v>
      </x:c>
      <x:c r="J206" s="2" t="str">
        <x:v>Remembering the sequence of sections</x:v>
      </x:c>
      <x:c r="K206" s="2" t="str">
        <x:v>The same content in the sequential spelling pre-order is fixed, denoting F01 dominance; not caching TTL or malfunctioning mechanism.  root cause response: allowing the same memory content to form a system front for identifying sequence, improving cache reuse</x:v>
      </x:c>
      <x:c r="L206" s="2" t="str">
        <x:v>The two sets of labels agree and the original decision is retained; see the original annotations for the action and its association with the root cause.</x:v>
      </x:c>
      <x:c r="M206" s="2" t="str">
        <x:v>https://github.com/open-webui/open-webui/issues/28292</x:v>
      </x:c>
      <x:c r="N206" s="2" t="str">
        <x:v>F01</x:v>
      </x:c>
      <x:c r="O206" s="2" t="str">
        <x:v>Determinate from available evidence</x:v>
      </x:c>
    </x:row>
    <x:row r="207" ht="48.5" customHeight="1">
      <x:c r="A207" s="2" t="str">
        <x:v>P0379</x:v>
      </x:c>
      <x:c r="B207" s="2" t="str">
        <x:v>open-webui/open-webui</x:v>
      </x:c>
      <x:c r="C207" s="2" t="n">
        <x:v>28811</x:v>
      </x:c>
      <x:c r="D207" s="2" t="str">
        <x:v>C06</x:v>
      </x:c>
      <x:c r="E207" s="2" t="str">
        <x:v>F02</x:v>
      </x:c>
      <x:c r="F207" s="2" t="str">
        <x:v>F02</x:v>
      </x:c>
      <x:c r="G207" s="2" t="str">
        <x:v>F02</x:v>
      </x:c>
      <x:c r="H207" s="2" t="str">
        <x:v>Execution-flow and state correction</x:v>
      </x:c>
      <x:c r="I207" s="2" t="str">
        <x:v>Recorded as implemented in the source data</x:v>
      </x:c>
      <x:c r="J207" s="2" t="str">
        <x:v>Delete search words when leaving the block and closing the menu</x:v>
      </x:c>
      <x:c r="K207" s="2" t="str">
        <x:v>The focus is state selection, execution progression, scope, or lifecycle management in the normal path.  Specific actions: Remove search words when leaving the block and closing the menu.  root cause Response: Avoiding old queries will keep tool and Skill blocks filtering empty</x:v>
      </x:c>
      <x:c r="L207" s="2" t="str">
        <x:v>The two sets of labels agree and the original decision is retained; see the original annotations for the action and its association with the root cause.</x:v>
      </x:c>
      <x:c r="M207" s="2" t="str">
        <x:v>https://github.com/open-webui/open-webui/issues/28811</x:v>
      </x:c>
      <x:c r="N207" s="2" t="str">
        <x:v>F02</x:v>
      </x:c>
      <x:c r="O207" s="2" t="str">
        <x:v>Determinate from available evidence</x:v>
      </x:c>
    </x:row>
    <x:row r="208" ht="35" customHeight="1">
      <x:c r="A208" s="2" t="str">
        <x:v>P0380</x:v>
      </x:c>
      <x:c r="B208" s="2" t="str">
        <x:v>open-webui/open-webui</x:v>
      </x:c>
      <x:c r="C208" s="2" t="n">
        <x:v>29000</x:v>
      </x:c>
      <x:c r="D208" s="2" t="str">
        <x:v>C02</x:v>
      </x:c>
      <x:c r="E208" s="2" t="str">
        <x:v>F01</x:v>
      </x:c>
      <x:c r="F208" s="2" t="str">
        <x:v>F01</x:v>
      </x:c>
      <x:c r="G208" s="2" t="str">
        <x:v>F01</x:v>
      </x:c>
      <x:c r="H208" s="2" t="str">
        <x:v>Representation and usage-contract alignment</x:v>
      </x:c>
      <x:c r="I208" s="2" t="str">
        <x:v>Recorded as implemented in the source data</x:v>
      </x:c>
      <x:c r="J208" s="2" t="str">
        <x:v>Respect the service end by omitting root</x:v>
      </x:c>
      <x:c r="K208" s="2" t="str">
        <x:v>The focus is correcting content representation, field transmission, static associations, or prompt/usage contracts.  Specific Action: Respect for Service Ends by omitting Root without Limit.  root cause response: No more cowardice on Home borders to stop legitimate navigation</x:v>
      </x:c>
      <x:c r="L208" s="2" t="str">
        <x:v>The two sets of labels agree and the original decision is retained; see the original annotations for the action and its association with the root cause.</x:v>
      </x:c>
      <x:c r="M208" s="2" t="str">
        <x:v>https://github.com/open-webui/open-webui/issues/29000</x:v>
      </x:c>
      <x:c r="N208" s="2" t="str">
        <x:v>F01</x:v>
      </x:c>
      <x:c r="O208" s="2" t="str">
        <x:v>Determinate from available evidence</x:v>
      </x:c>
    </x:row>
    <x:row r="209" ht="35" customHeight="1">
      <x:c r="A209" s="2" t="str">
        <x:v>P0382</x:v>
      </x:c>
      <x:c r="B209" s="2" t="str">
        <x:v>open-webui/open-webui</x:v>
      </x:c>
      <x:c r="C209" s="2" t="n">
        <x:v>29244</x:v>
      </x:c>
      <x:c r="D209" s="2" t="str">
        <x:v>C12</x:v>
      </x:c>
      <x:c r="E209" s="2" t="str">
        <x:v>F01</x:v>
      </x:c>
      <x:c r="F209" s="2" t="str">
        <x:v>F01</x:v>
      </x:c>
      <x:c r="G209" s="2" t="str">
        <x:v>F01</x:v>
      </x:c>
      <x:c r="H209" s="2" t="str">
        <x:v>Representation and usage-contract alignment</x:v>
      </x:c>
      <x:c r="I209" s="2" t="str">
        <x:v>Recorded as implemented in the source data</x:v>
      </x:c>
      <x:c r="J209" s="2" t="str">
        <x:v>Add cross-border flow items and index them to ID positioning and alignment</x:v>
      </x:c>
      <x:c r="K209" s="2" t="str">
        <x:v>Modify the flow array and index positioning, to F01; not just for undefined plus guard.  root cause response: Avoid array voids that change undefined and cause rendering readings to crash</x:v>
      </x:c>
      <x:c r="L209" s="2" t="str">
        <x:v>The two sets of labels agree and the original decision is retained; see the original annotations for the action and its association with the root cause.</x:v>
      </x:c>
      <x:c r="M209" s="2" t="str">
        <x:v>https://github.com/open-webui/open-webui/issues/29244</x:v>
      </x:c>
      <x:c r="N209" s="2" t="str">
        <x:v>F01</x:v>
      </x:c>
      <x:c r="O209" s="2" t="str">
        <x:v>Determinate from available evidence</x:v>
      </x:c>
    </x:row>
    <x:row r="210" ht="48.5" customHeight="1">
      <x:c r="A210" s="2" t="str">
        <x:v>P0383</x:v>
      </x:c>
      <x:c r="B210" s="2" t="str">
        <x:v>open-webui/open-webui</x:v>
      </x:c>
      <x:c r="C210" s="2" t="n">
        <x:v>29326</x:v>
      </x:c>
      <x:c r="D210" s="2" t="str">
        <x:v>C06</x:v>
      </x:c>
      <x:c r="E210" s="2" t="str">
        <x:v>F02</x:v>
      </x:c>
      <x:c r="F210" s="2" t="str">
        <x:v>F02</x:v>
      </x:c>
      <x:c r="G210" s="2" t="str">
        <x:v>F02</x:v>
      </x:c>
      <x:c r="H210" s="2" t="str">
        <x:v>Execution-flow and state correction</x:v>
      </x:c>
      <x:c r="I210" s="2" t="str">
        <x:v>Partial coverage</x:v>
      </x:c>
      <x:c r="J210" s="2" t="str">
        <x:v>Default characteristics of selected models aggregated</x:v>
      </x:c>
      <x:c r="K210" s="2" t="str">
        <x:v>The focus is state selection, execution progression, scope, or lifecycle management in the normal path.  Specific action: Accumulate default characteristics by selected model.  root cause response: Multi-models are enabled only when co-supported and enabled by default, calibrated model switching status</x:v>
      </x:c>
      <x:c r="L210" s="2" t="str">
        <x:v>The two sets of labels agree and the original decision is retained; see the original annotations for the action and its association with the root cause.</x:v>
      </x:c>
      <x:c r="M210" s="2" t="str">
        <x:v>https://github.com/open-webui/open-webui/issues/29326</x:v>
      </x:c>
      <x:c r="N210" s="2" t="str">
        <x:v>F02</x:v>
      </x:c>
      <x:c r="O210" s="2" t="str">
        <x:v>Determinate from available evidence</x:v>
      </x:c>
    </x:row>
    <x:row r="211" ht="35" customHeight="1">
      <x:c r="A211" s="2" t="str">
        <x:v>P0384</x:v>
      </x:c>
      <x:c r="B211" s="2" t="str">
        <x:v>open-webui/open-webui</x:v>
      </x:c>
      <x:c r="C211" s="2" t="n">
        <x:v>29327</x:v>
      </x:c>
      <x:c r="D211" s="2" t="str">
        <x:v>C13</x:v>
      </x:c>
      <x:c r="E211" s="2" t="str">
        <x:v>F03</x:v>
      </x:c>
      <x:c r="F211" s="2" t="str">
        <x:v>F03</x:v>
      </x:c>
      <x:c r="G211" s="2" t="str">
        <x:v>F03</x:v>
      </x:c>
      <x:c r="H211" s="2" t="str">
        <x:v>Validation and failure-path hardening</x:v>
      </x:c>
      <x:c r="I211" s="2" t="str">
        <x:v>Recorded as implemented in the source data</x:v>
      </x:c>
      <x:c r="J211" s="2" t="str">
        <x:v>Previously returned documents clear failure</x:v>
      </x:c>
      <x:c r="K211" s="2" t="str">
        <x:v>The newly added docs checks and distinguishes the source of the error, which is a misclassified F03, rather than just a proofreading word. root cause response: distinguish web page load failure from real embedded errors, avoiding misconfigured bootable</x:v>
      </x:c>
      <x:c r="L211" s="2" t="str">
        <x:v>The two sets of labels agree and the original decision is retained; see the original annotations for the action and its association with the root cause.</x:v>
      </x:c>
      <x:c r="M211" s="2" t="str">
        <x:v>https://github.com/open-webui/open-webui/issues/29327</x:v>
      </x:c>
      <x:c r="N211" s="2" t="str">
        <x:v>F03</x:v>
      </x:c>
      <x:c r="O211" s="2" t="str">
        <x:v>Determinate from available evidence</x:v>
      </x:c>
    </x:row>
    <x:row r="212" ht="48.5" customHeight="1">
      <x:c r="A212" s="2" t="str">
        <x:v>P0387</x:v>
      </x:c>
      <x:c r="B212" s="2" t="str">
        <x:v>open-webui/open-webui</x:v>
      </x:c>
      <x:c r="C212" s="2" t="n">
        <x:v>31472</x:v>
      </x:c>
      <x:c r="D212" s="2" t="str">
        <x:v>C06</x:v>
      </x:c>
      <x:c r="E212" s="2" t="str">
        <x:v>F02</x:v>
      </x:c>
      <x:c r="F212" s="2" t="str">
        <x:v>F02</x:v>
      </x:c>
      <x:c r="G212" s="2" t="str">
        <x:v>F02</x:v>
      </x:c>
      <x:c r="H212" s="2" t="str">
        <x:v>Execution-flow and state correction</x:v>
      </x:c>
      <x:c r="I212" s="2" t="str">
        <x:v>Recorded as implemented in the source data</x:v>
      </x:c>
      <x:c r="J212" s="2" t="str">
        <x:v>Switching the code interpreter switch when chatting</x:v>
      </x:c>
      <x:c r="K212" s="2" t="str">
        <x:v>The focus is state selection, execution progression, scope, or lifecycle management in the normal path.  Concrete action: Switch the code interpreter switch when chatting.  root cause Response: Don't let the previous session enable new chats and their drafts to contaminate status</x:v>
      </x:c>
      <x:c r="L212" s="2" t="str">
        <x:v>The two sets of labels agree and the original decision is retained; see the original annotations for the action and its association with the root cause.</x:v>
      </x:c>
      <x:c r="M212" s="2" t="str">
        <x:v>https://github.com/open-webui/open-webui/issues/31472</x:v>
      </x:c>
      <x:c r="N212" s="2" t="str">
        <x:v>F02</x:v>
      </x:c>
      <x:c r="O212" s="2" t="str">
        <x:v>Determinate from available evidence</x:v>
      </x:c>
    </x:row>
    <x:row r="213" ht="48.5" customHeight="1">
      <x:c r="A213" s="2" t="str">
        <x:v>P0389</x:v>
      </x:c>
      <x:c r="B213" s="2" t="str">
        <x:v>open-webui/open-webui</x:v>
      </x:c>
      <x:c r="C213" s="2" t="n">
        <x:v>31610</x:v>
      </x:c>
      <x:c r="D213" s="2" t="str">
        <x:v>C22</x:v>
      </x:c>
      <x:c r="E213" s="2" t="str">
        <x:v>U1</x:v>
      </x:c>
      <x:c r="F213" s="2" t="str">
        <x:v>U1</x:v>
      </x:c>
      <x:c r="G213" s="2" t="str">
        <x:v>F02</x:v>
      </x:c>
      <x:c r="H213" s="2" t="str">
        <x:v>Execution-flow and state correction</x:v>
      </x:c>
      <x:c r="I213" s="2" t="str">
        <x:v>Workaround only or existing behavior</x:v>
      </x:c>
      <x:c r="J213" s="2" t="str">
        <x:v>Recommended action: It is recommended that the model searched must be guaranteed to use a pre-executed search process, or explicitly ensure that the model remains autonomous. </x:v>
      </x:c>
      <x:c r="K213" s="2" t="str">
        <x:v>The Legacy actually recommends that searches be performed first, closest to tool execution scheduling; unrelated KeyError patches are not included.  This is an additional closest-fit assignment, not an established repair fact.</x:v>
      </x:c>
      <x:c r="L213" s="2" t="str">
        <x:v>One closest-fit strategy is selected as additionally requested.  The Legacy actually recommends that searches be performed first, closest to tool execution scheduling; unrelated KeyError patches are not included.  This is an additional closest-fit assignment, not an established repair fact.  The original evidence review is U1; this does not establish that a targeted repair has been verified.</x:v>
      </x:c>
      <x:c r="M213" s="2" t="str">
        <x:v>https://github.com/open-webui/open-webui/issues/31610</x:v>
      </x:c>
      <x:c r="N213" s="2" t="str">
        <x:v>U1</x:v>
      </x:c>
      <x:c r="O213" s="2" t="str">
        <x:v>Closest fit to the intent described in the summary</x:v>
      </x:c>
    </x:row>
    <x:row r="214" ht="35" customHeight="1">
      <x:c r="A214" s="2" t="str">
        <x:v>P0390</x:v>
      </x:c>
      <x:c r="B214" s="2" t="str">
        <x:v>open-webui/open-webui</x:v>
      </x:c>
      <x:c r="C214" s="2" t="n">
        <x:v>31880</x:v>
      </x:c>
      <x:c r="D214" s="2" t="str">
        <x:v>C15</x:v>
      </x:c>
      <x:c r="E214" s="2" t="str">
        <x:v>F02</x:v>
      </x:c>
      <x:c r="F214" s="2" t="str">
        <x:v>F03</x:v>
      </x:c>
      <x:c r="G214" s="2" t="str">
        <x:v>F03</x:v>
      </x:c>
      <x:c r="H214" s="2" t="str">
        <x:v>Validation and failure-path hardening</x:v>
      </x:c>
      <x:c r="I214" s="2" t="str">
        <x:v>Recorded as implemented in the source data</x:v>
      </x:c>
      <x:c r="J214" s="2" t="str">
        <x:v>Connecting MCP before filtering off servers</x:v>
      </x:c>
      <x:c r="K214" s="2" t="str">
        <x:v>Request respect for enable access restrictions before connecting, directly preventing the user's closed server from being checked by invocation and returned to border.</x:v>
      </x:c>
      <x:c r="L214" s="2" t="str">
        <x:v>Integrating task back-checking frozen source material: Respect enable access blocks before requesting connection, directly preventing the user's closed server from being checked by invocation and returned to the border.</x:v>
      </x:c>
      <x:c r="M214" s="2" t="str">
        <x:v>https://github.com/open-webui/open-webui/issues/31880</x:v>
      </x:c>
      <x:c r="N214" s="2" t="str">
        <x:v>F03</x:v>
      </x:c>
      <x:c r="O214" s="2" t="str">
        <x:v>Determinate from available evidence</x:v>
      </x:c>
    </x:row>
    <x:row r="215" ht="48.5" customHeight="1">
      <x:c r="A215" s="2" t="str">
        <x:v>P0391</x:v>
      </x:c>
      <x:c r="B215" s="2" t="str">
        <x:v>earendil-works/pi</x:v>
      </x:c>
      <x:c r="C215" s="2" t="n">
        <x:v>115</x:v>
      </x:c>
      <x:c r="D215" s="2" t="str">
        <x:v>C08</x:v>
      </x:c>
      <x:c r="E215" s="2" t="str">
        <x:v>F02</x:v>
      </x:c>
      <x:c r="F215" s="2" t="str">
        <x:v>F02</x:v>
      </x:c>
      <x:c r="G215" s="2" t="str">
        <x:v>F02</x:v>
      </x:c>
      <x:c r="H215" s="2" t="str">
        <x:v>Execution-flow and state correction</x:v>
      </x:c>
      <x:c r="I215" s="2" t="str">
        <x:v>Recorded as implemented in the source data</x:v>
      </x:c>
      <x:c r="J215" s="2" t="str">
        <x:v>Structured session management and separation of context from human logs</x:v>
      </x:c>
      <x:c r="K215" s="2" t="str">
        <x:v>The focus is state selection, execution progression, scope, or lifecycle management in the normal path.  Specific action: Structured session management and separation of context from human logs.  root cause response: Preserving tool results and stabilizing forecasts, combined with compression and single-channel queues to avoid historical contamination</x:v>
      </x:c>
      <x:c r="L215" s="2" t="str">
        <x:v>The two sets of labels agree and the original decision is retained; see the original annotations for the action and its association with the root cause.</x:v>
      </x:c>
      <x:c r="M215" s="2" t="str">
        <x:v>https://github.com/earendil-works/pi/issues/115</x:v>
      </x:c>
      <x:c r="N215" s="2" t="str">
        <x:v>F02</x:v>
      </x:c>
      <x:c r="O215" s="2" t="str">
        <x:v>Determinate from available evidence</x:v>
      </x:c>
    </x:row>
    <x:row r="216" ht="48.5" customHeight="1">
      <x:c r="A216" s="2" t="str">
        <x:v>P0393</x:v>
      </x:c>
      <x:c r="B216" s="2" t="str">
        <x:v>earendil-works/pi</x:v>
      </x:c>
      <x:c r="C216" s="2" t="n">
        <x:v>812</x:v>
      </x:c>
      <x:c r="D216" s="2" t="str">
        <x:v>C05</x:v>
      </x:c>
      <x:c r="E216" s="2" t="str">
        <x:v>F01</x:v>
      </x:c>
      <x:c r="F216" s="2" t="str">
        <x:v>F01</x:v>
      </x:c>
      <x:c r="G216" s="2" t="str">
        <x:v>F01</x:v>
      </x:c>
      <x:c r="H216" s="2" t="str">
        <x:v>Representation and usage-contract alignment</x:v>
      </x:c>
      <x:c r="I216" s="2" t="str">
        <x:v>Recorded as implemented in the source data</x:v>
      </x:c>
      <x:c r="J216" s="2" t="str">
        <x:v>False Assistant Messages Don't Remedy orphaned tool Results</x:v>
      </x:c>
      <x:c r="K216" s="2" t="str">
        <x:v>The focus is correcting content representation, field transmission, static associations, or prompt/usage contracts.  Concrete Action: False Assistant Messages Do Not Remedy orphaned tool Results.  root cause Response: Keeping function_call and function_call_output Associated</x:v>
      </x:c>
      <x:c r="L216" s="2" t="str">
        <x:v>The two sets of labels agree and the original decision is retained; see the original annotations for the action and its association with the root cause.</x:v>
      </x:c>
      <x:c r="M216" s="2" t="str">
        <x:v>https://github.com/earendil-works/pi/issues/812</x:v>
      </x:c>
      <x:c r="N216" s="2" t="str">
        <x:v>F01</x:v>
      </x:c>
      <x:c r="O216" s="2" t="str">
        <x:v>Determinate from available evidence</x:v>
      </x:c>
    </x:row>
    <x:row r="217" ht="48.5" customHeight="1">
      <x:c r="A217" s="2" t="str">
        <x:v>P0395</x:v>
      </x:c>
      <x:c r="B217" s="2" t="str">
        <x:v>earendil-works/pi</x:v>
      </x:c>
      <x:c r="C217" s="2" t="n">
        <x:v>821</x:v>
      </x:c>
      <x:c r="D217" s="2" t="str">
        <x:v>C05</x:v>
      </x:c>
      <x:c r="E217" s="2" t="str">
        <x:v>F01</x:v>
      </x:c>
      <x:c r="F217" s="2" t="str">
        <x:v>F01</x:v>
      </x:c>
      <x:c r="G217" s="2" t="str">
        <x:v>F01</x:v>
      </x:c>
      <x:c r="H217" s="2" t="str">
        <x:v>Representation and usage-contract alignment</x:v>
      </x:c>
      <x:c r="I217" s="2" t="str">
        <x:v>Recorded as implemented in the source data</x:v>
      </x:c>
      <x:c r="J217" s="2" t="str">
        <x:v>Regularize cross-provider resets tool invocation ID</x:v>
      </x:c>
      <x:c r="K217" s="2" t="str">
        <x:v>The focus is correcting content representation, field transmission, static associations, or prompt/usage contracts.  Specific actions: regularizing replaying across providers tool invocation ID.  root cause Response: Remove the thread and meet targeted strict identification constraints</x:v>
      </x:c>
      <x:c r="L217" s="2" t="str">
        <x:v>The two sets of labels agree and the original decision is retained; see the original annotations for the action and its association with the root cause.</x:v>
      </x:c>
      <x:c r="M217" s="2" t="str">
        <x:v>https://github.com/earendil-works/pi/issues/821</x:v>
      </x:c>
      <x:c r="N217" s="2" t="str">
        <x:v>F01</x:v>
      </x:c>
      <x:c r="O217" s="2" t="str">
        <x:v>Determinate from available evidence</x:v>
      </x:c>
    </x:row>
    <x:row r="218" ht="48.5" customHeight="1">
      <x:c r="A218" s="2" t="str">
        <x:v>P0396</x:v>
      </x:c>
      <x:c r="B218" s="2" t="str">
        <x:v>earendil-works/pi</x:v>
      </x:c>
      <x:c r="C218" s="2" t="n">
        <x:v>1072</x:v>
      </x:c>
      <x:c r="D218" s="2" t="str">
        <x:v>C09</x:v>
      </x:c>
      <x:c r="E218" s="2" t="str">
        <x:v>F02</x:v>
      </x:c>
      <x:c r="F218" s="2" t="str">
        <x:v>F02</x:v>
      </x:c>
      <x:c r="G218" s="2" t="str">
        <x:v>F02</x:v>
      </x:c>
      <x:c r="H218" s="2" t="str">
        <x:v>Execution-flow and state correction</x:v>
      </x:c>
      <x:c r="I218" s="2" t="str">
        <x:v>Recorded as implemented in the source data</x:v>
      </x:c>
      <x:c r="J218" s="2" t="str">
        <x:v>Finds scanning follows the rules of root directory ignorance</x:v>
      </x:c>
      <x:c r="K218" s="2" t="str">
        <x:v>The focus is state selection, execution progression, scope, or lifecycle management in the normal path.  Concrete action: Detection of scanning following rules of root directory disregard.  root cause Response: Time-consuming and sticky to avoid entering large dependent tree building</x:v>
      </x:c>
      <x:c r="L218" s="2" t="str">
        <x:v>The two sets of labels agree and the original decision is retained; see the original annotations for the action and its association with the root cause.</x:v>
      </x:c>
      <x:c r="M218" s="2" t="str">
        <x:v>https://github.com/earendil-works/pi/issues/1072</x:v>
      </x:c>
      <x:c r="N218" s="2" t="str">
        <x:v>F02</x:v>
      </x:c>
      <x:c r="O218" s="2" t="str">
        <x:v>Determinate from available evidence</x:v>
      </x:c>
    </x:row>
    <x:row r="219" ht="35" customHeight="1">
      <x:c r="A219" s="2" t="str">
        <x:v>P0397</x:v>
      </x:c>
      <x:c r="B219" s="2" t="str">
        <x:v>earendil-works/pi</x:v>
      </x:c>
      <x:c r="C219" s="2" t="n">
        <x:v>1115</x:v>
      </x:c>
      <x:c r="D219" s="2" t="str">
        <x:v>C12</x:v>
      </x:c>
      <x:c r="E219" s="2" t="str">
        <x:v>F03</x:v>
      </x:c>
      <x:c r="F219" s="2" t="str">
        <x:v>F03</x:v>
      </x:c>
      <x:c r="G219" s="2" t="str">
        <x:v>F03</x:v>
      </x:c>
      <x:c r="H219" s="2" t="str">
        <x:v>Validation and failure-path hardening</x:v>
      </x:c>
      <x:c r="I219" s="2" t="str">
        <x:v>Implementation status pending verification</x:v>
      </x:c>
      <x:c r="J219" s="2" t="str">
        <x:v>fallback cloning of empty tool parameters</x:v>
      </x:c>
      <x:c r="K219" s="2" t="str">
        <x:v>The bottom movements in fork are clear; the main line, though said to be fixed, has not been submitted to the corresponding input, and implementation status must verify.</x:v>
      </x:c>
      <x:c r="L219" s="2" t="str">
        <x:v>Integrating task re-check freeze source material: The bottom action in fork is clear; the main line, although said to be fixed, has not been submitted to the corresponding matching, and implementation status must verify.</x:v>
      </x:c>
      <x:c r="M219" s="2" t="str">
        <x:v>https://github.com/earendil-works/pi/issues/1115</x:v>
      </x:c>
      <x:c r="N219" s="2" t="str">
        <x:v>F03</x:v>
      </x:c>
      <x:c r="O219" s="2" t="str">
        <x:v>Determinate from available evidence</x:v>
      </x:c>
    </x:row>
    <x:row r="220" ht="48.5" customHeight="1">
      <x:c r="A220" s="2" t="str">
        <x:v>P0398</x:v>
      </x:c>
      <x:c r="B220" s="2" t="str">
        <x:v>earendil-works/pi</x:v>
      </x:c>
      <x:c r="C220" s="2" t="n">
        <x:v>1233</x:v>
      </x:c>
      <x:c r="D220" s="2" t="str">
        <x:v>C19</x:v>
      </x:c>
      <x:c r="E220" s="2" t="str">
        <x:v>U1</x:v>
      </x:c>
      <x:c r="F220" s="2" t="str">
        <x:v>U1</x:v>
      </x:c>
      <x:c r="G220" s="2" t="str">
        <x:v>F01</x:v>
      </x:c>
      <x:c r="H220" s="2" t="str">
        <x:v>Representation and usage-contract alignment</x:v>
      </x:c>
      <x:c r="I220" s="2" t="str">
        <x:v>Insufficient association evidence</x:v>
      </x:c>
      <x:c r="J220" s="2" t="str">
        <x:v>Recommended Action: Recommended to extend, pack and reset synchronously with current execute signatures.</x:v>
      </x:c>
      <x:c r="K220" s="2" t="str">
        <x:v>Summary uniform execute Signature closest API invocation Contract; it is a causal change from the old extension to the subsequent restoration.  This is an additional closest-fit assignment, not an established repair fact.</x:v>
      </x:c>
      <x:c r="L220" s="2" t="str">
        <x:v>One closest-fit strategy is selected as additionally requested.  Summary uniform execute Signature closest API invocation Contract; it is a causal change from the old extension to the subsequent restoration.  This is an additional closest-fit assignment, not an established repair fact.  The original evidence review is U1; this does not establish that a targeted repair has been verified.</x:v>
      </x:c>
      <x:c r="M220" s="2" t="str">
        <x:v>https://github.com/earendil-works/pi/issues/1233</x:v>
      </x:c>
      <x:c r="N220" s="2" t="str">
        <x:v>U1</x:v>
      </x:c>
      <x:c r="O220" s="2" t="str">
        <x:v>Closest fit to the intent described in the summary</x:v>
      </x:c>
    </x:row>
    <x:row r="221" ht="48.5" customHeight="1">
      <x:c r="A221" s="2" t="str">
        <x:v>P0399</x:v>
      </x:c>
      <x:c r="B221" s="2" t="str">
        <x:v>earendil-works/pi</x:v>
      </x:c>
      <x:c r="C221" s="2" t="n">
        <x:v>1398</x:v>
      </x:c>
      <x:c r="D221" s="2" t="str">
        <x:v>C04</x:v>
      </x:c>
      <x:c r="E221" s="2" t="str">
        <x:v>F01</x:v>
      </x:c>
      <x:c r="F221" s="2" t="str">
        <x:v>F01</x:v>
      </x:c>
      <x:c r="G221" s="2" t="str">
        <x:v>F01</x:v>
      </x:c>
      <x:c r="H221" s="2" t="str">
        <x:v>Representation and usage-contract alignment</x:v>
      </x:c>
      <x:c r="I221" s="2" t="str">
        <x:v>Recorded as implemented in the source data</x:v>
      </x:c>
      <x:c r="J221" s="2" t="str">
        <x:v>Google tool schema Change to Full Mode Field</x:v>
      </x:c>
      <x:c r="K221" s="2" t="str">
        <x:v>The focus is correcting content representation, field transmission, static associations, or prompt/usage contracts.  Specific actions: Google tool schema Change to Full Mode Field.  root cause correspondence: parametersJsonSchema retains the full JSONSchema semantics such as the combined type</x:v>
      </x:c>
      <x:c r="L221" s="2" t="str">
        <x:v>The two sets of labels agree and the original decision is retained; see the original annotations for the action and its association with the root cause.</x:v>
      </x:c>
      <x:c r="M221" s="2" t="str">
        <x:v>https://github.com/earendil-works/pi/issues/1398</x:v>
      </x:c>
      <x:c r="N221" s="2" t="str">
        <x:v>F01</x:v>
      </x:c>
      <x:c r="O221" s="2" t="str">
        <x:v>Determinate from available evidence</x:v>
      </x:c>
    </x:row>
    <x:row r="222" ht="48.5" customHeight="1">
      <x:c r="A222" s="2" t="str">
        <x:v>P0400</x:v>
      </x:c>
      <x:c r="B222" s="2" t="str">
        <x:v>earendil-works/pi</x:v>
      </x:c>
      <x:c r="C222" s="2" t="n">
        <x:v>1829</x:v>
      </x:c>
      <x:c r="D222" s="2" t="str">
        <x:v>C04</x:v>
      </x:c>
      <x:c r="E222" s="2" t="str">
        <x:v>F01</x:v>
      </x:c>
      <x:c r="F222" s="2" t="str">
        <x:v>F01</x:v>
      </x:c>
      <x:c r="G222" s="2" t="str">
        <x:v>F01</x:v>
      </x:c>
      <x:c r="H222" s="2" t="str">
        <x:v>Representation and usage-contract alignment</x:v>
      </x:c>
      <x:c r="I222" s="2" t="str">
        <x:v>Recorded as implemented in the source data</x:v>
      </x:c>
      <x:c r="J222" s="2" t="str">
        <x:v>Unsigned function invocation uses official sentry value</x:v>
      </x:c>
      <x:c r="K222" s="2" t="str">
        <x:v>The focus is correcting content representation, field transmission, static associations, or prompt/usage contracts.  Specific action: Unsigned function invocation uses official sentry value.  root cause response: Preserving structured invocation history and replacing the degraded text notes</x:v>
      </x:c>
      <x:c r="L222" s="2" t="str">
        <x:v>The two sets of labels agree and the original decision is retained; see the original annotations for the action and its association with the root cause.</x:v>
      </x:c>
      <x:c r="M222" s="2" t="str">
        <x:v>https://github.com/earendil-works/pi/issues/1829</x:v>
      </x:c>
      <x:c r="N222" s="2" t="str">
        <x:v>F01</x:v>
      </x:c>
      <x:c r="O222" s="2" t="str">
        <x:v>Determinate from available evidence</x:v>
      </x:c>
    </x:row>
    <x:row r="223" ht="48.5" customHeight="1">
      <x:c r="A223" s="2" t="str">
        <x:v>P0401</x:v>
      </x:c>
      <x:c r="B223" s="2" t="str">
        <x:v>earendil-works/pi</x:v>
      </x:c>
      <x:c r="C223" s="2" t="n">
        <x:v>1896</x:v>
      </x:c>
      <x:c r="D223" s="2" t="str">
        <x:v>C09</x:v>
      </x:c>
      <x:c r="E223" s="2" t="str">
        <x:v>F02</x:v>
      </x:c>
      <x:c r="F223" s="2" t="str">
        <x:v>F02</x:v>
      </x:c>
      <x:c r="G223" s="2" t="str">
        <x:v>F02</x:v>
      </x:c>
      <x:c r="H223" s="2" t="str">
        <x:v>Execution-flow and state correction</x:v>
      </x:c>
      <x:c r="I223" s="2" t="str">
        <x:v>Recorded as implemented in the source data</x:v>
      </x:c>
      <x:c r="J223" s="2" t="str">
        <x:v>Expanding explicitly prioritizes nationwide expansion of the same name</x:v>
      </x:c>
      <x:c r="K223" s="2" t="str">
        <x:v>The focus is state selection, execution progression, scope, or lifecycle management in the normal path.  Concrete action: Expansion prioritizes expansion with the same name nationwide.  root cause response: Select the user to handle source conflicts, skip the global version</x:v>
      </x:c>
      <x:c r="L223" s="2" t="str">
        <x:v>The two sets of labels agree and the original decision is retained; see the original annotations for the action and its association with the root cause.</x:v>
      </x:c>
      <x:c r="M223" s="2" t="str">
        <x:v>https://github.com/earendil-works/pi/issues/1896</x:v>
      </x:c>
      <x:c r="N223" s="2" t="str">
        <x:v>F02</x:v>
      </x:c>
      <x:c r="O223" s="2" t="str">
        <x:v>Determinate from available evidence</x:v>
      </x:c>
    </x:row>
    <x:row r="224" ht="35" customHeight="1">
      <x:c r="A224" s="2" t="str">
        <x:v>P0404</x:v>
      </x:c>
      <x:c r="B224" s="2" t="str">
        <x:v>earendil-works/pi</x:v>
      </x:c>
      <x:c r="C224" s="2" t="n">
        <x:v>2075</x:v>
      </x:c>
      <x:c r="D224" s="2" t="str">
        <x:v>C09</x:v>
      </x:c>
      <x:c r="E224" s="2" t="str">
        <x:v>F02</x:v>
      </x:c>
      <x:c r="F224" s="2" t="str">
        <x:v>F02</x:v>
      </x:c>
      <x:c r="G224" s="2" t="str">
        <x:v>F02</x:v>
      </x:c>
      <x:c r="H224" s="2" t="str">
        <x:v>Execution-flow and state correction</x:v>
      </x:c>
      <x:c r="I224" s="2" t="str">
        <x:v>Recorded as implemented in the source data</x:v>
      </x:c>
      <x:c r="J224" s="2" t="str">
        <x:v>Skill roots are found to stop returning to the subdirectory</x:v>
      </x:c>
      <x:c r="K224" s="2" t="str">
        <x:v>The focus is state selection, execution progression, scope, or lifecycle management in the normal path.  Specific action: Stop returning to the subdirectory after finding Skill roots.  root cause response: Preventing sub-class SKILL to cover root Skill pathways</x:v>
      </x:c>
      <x:c r="L224" s="2" t="str">
        <x:v>The two sets of labels agree and the original decision is retained; see the original annotations for the action and its association with the root cause.</x:v>
      </x:c>
      <x:c r="M224" s="2" t="str">
        <x:v>https://github.com/earendil-works/pi/issues/2075</x:v>
      </x:c>
      <x:c r="N224" s="2" t="str">
        <x:v>F02</x:v>
      </x:c>
      <x:c r="O224" s="2" t="str">
        <x:v>Determinate from available evidence</x:v>
      </x:c>
    </x:row>
    <x:row r="225" ht="48.5" customHeight="1">
      <x:c r="A225" s="2" t="str">
        <x:v>P0405</x:v>
      </x:c>
      <x:c r="B225" s="2" t="str">
        <x:v>earendil-works/pi</x:v>
      </x:c>
      <x:c r="C225" s="2" t="n">
        <x:v>2327</x:v>
      </x:c>
      <x:c r="D225" s="2" t="str">
        <x:v>C11</x:v>
      </x:c>
      <x:c r="E225" s="2" t="str">
        <x:v>F02</x:v>
      </x:c>
      <x:c r="F225" s="2" t="str">
        <x:v>F02</x:v>
      </x:c>
      <x:c r="G225" s="2" t="str">
        <x:v>F02</x:v>
      </x:c>
      <x:c r="H225" s="2" t="str">
        <x:v>Execution-flow and state correction</x:v>
      </x:c>
      <x:c r="I225" s="2" t="str">
        <x:v>Recorded as implemented in the source data</x:v>
      </x:c>
      <x:c r="J225" s="2" t="str">
        <x:v>Change editing and writing by file</x:v>
      </x:c>
      <x:c r="K225" s="2" t="str">
        <x:v>The focus is state selection, execution progression, scope, or lifecycle management in the normal path.  Specific action: Change editing and writing by file.  root cause response: Read and write with the same file no longer overlapping, other files can be parallel</x:v>
      </x:c>
      <x:c r="L225" s="2" t="str">
        <x:v>The two sets of labels agree and the original decision is retained; see the original annotations for the action and its association with the root cause.</x:v>
      </x:c>
      <x:c r="M225" s="2" t="str">
        <x:v>https://github.com/earendil-works/pi/issues/2327</x:v>
      </x:c>
      <x:c r="N225" s="2" t="str">
        <x:v>F02</x:v>
      </x:c>
      <x:c r="O225" s="2" t="str">
        <x:v>Determinate from available evidence</x:v>
      </x:c>
    </x:row>
    <x:row r="226" ht="48.5" customHeight="1">
      <x:c r="A226" s="2" t="str">
        <x:v>P0406</x:v>
      </x:c>
      <x:c r="B226" s="2" t="str">
        <x:v>earendil-works/pi</x:v>
      </x:c>
      <x:c r="C226" s="2" t="n">
        <x:v>2328</x:v>
      </x:c>
      <x:c r="D226" s="2" t="str">
        <x:v>C05</x:v>
      </x:c>
      <x:c r="E226" s="2" t="str">
        <x:v>F01</x:v>
      </x:c>
      <x:c r="F226" s="2" t="str">
        <x:v>F01</x:v>
      </x:c>
      <x:c r="G226" s="2" t="str">
        <x:v>F01</x:v>
      </x:c>
      <x:c r="H226" s="2" t="str">
        <x:v>Representation and usage-contract alignment</x:v>
      </x:c>
      <x:c r="I226" s="2" t="str">
        <x:v>Recorded as implemented in the source data</x:v>
      </x:c>
      <x:c r="J226" s="2" t="str">
        <x:v>Replay Responses History is one tool invocation ID</x:v>
      </x:c>
      <x:c r="K226" s="2" t="str">
        <x:v>The focus is correcting content representation, field transmission, static associations, or prompt/usage contracts.  Specific actions: Replay Responses History is one tool invocation ID.  root cause response: allowing the cross-provider ID to meet the target 64 character constraints</x:v>
      </x:c>
      <x:c r="L226" s="2" t="str">
        <x:v>The two sets of labels agree and the original decision is retained; see the original annotations for the action and its association with the root cause.</x:v>
      </x:c>
      <x:c r="M226" s="2" t="str">
        <x:v>https://github.com/earendil-works/pi/issues/2328</x:v>
      </x:c>
      <x:c r="N226" s="2" t="str">
        <x:v>F01</x:v>
      </x:c>
      <x:c r="O226" s="2" t="str">
        <x:v>Determinate from available evidence</x:v>
      </x:c>
    </x:row>
    <x:row r="227" ht="48.5" customHeight="1">
      <x:c r="A227" s="2" t="str">
        <x:v>P0407</x:v>
      </x:c>
      <x:c r="B227" s="2" t="str">
        <x:v>earendil-works/pi</x:v>
      </x:c>
      <x:c r="C227" s="2" t="n">
        <x:v>2439</x:v>
      </x:c>
      <x:c r="D227" s="2" t="str">
        <x:v>C11</x:v>
      </x:c>
      <x:c r="E227" s="2" t="str">
        <x:v>F02</x:v>
      </x:c>
      <x:c r="F227" s="2" t="str">
        <x:v>F02</x:v>
      </x:c>
      <x:c r="G227" s="2" t="str">
        <x:v>F02</x:v>
      </x:c>
      <x:c r="H227" s="2" t="str">
        <x:v>Execution-flow and state correction</x:v>
      </x:c>
      <x:c r="I227" s="2" t="str">
        <x:v>Recorded as implemented in the source data</x:v>
      </x:c>
      <x:c r="J227" s="2" t="str">
        <x:v>Automated retry waiting until the agent ends events</x:v>
      </x:c>
      <x:c r="K227" s="2" t="str">
        <x:v>The focus is state selection, execution progression, scope, or lifecycle management in the normal path.  Specific Action: Automated retry Waiting to End the Agent Event.  root cause response: tool cycle backstage running without the first message_end returning early</x:v>
      </x:c>
      <x:c r="L227" s="2" t="str">
        <x:v>The two sets of labels agree and the original decision is retained; see the original annotations for the action and its association with the root cause.</x:v>
      </x:c>
      <x:c r="M227" s="2" t="str">
        <x:v>https://github.com/earendil-works/pi/issues/2439</x:v>
      </x:c>
      <x:c r="N227" s="2" t="str">
        <x:v>F02</x:v>
      </x:c>
      <x:c r="O227" s="2" t="str">
        <x:v>Determinate from available evidence</x:v>
      </x:c>
    </x:row>
    <x:row r="228" ht="35" customHeight="1">
      <x:c r="A228" s="2" t="str">
        <x:v>P0408</x:v>
      </x:c>
      <x:c r="B228" s="2" t="str">
        <x:v>earendil-works/pi</x:v>
      </x:c>
      <x:c r="C228" s="2" t="n">
        <x:v>2473</x:v>
      </x:c>
      <x:c r="D228" s="2" t="str">
        <x:v>C09</x:v>
      </x:c>
      <x:c r="E228" s="2" t="str">
        <x:v>F02</x:v>
      </x:c>
      <x:c r="F228" s="2" t="str">
        <x:v>F02</x:v>
      </x:c>
      <x:c r="G228" s="2" t="str">
        <x:v>F02</x:v>
      </x:c>
      <x:c r="H228" s="2" t="str">
        <x:v>Execution-flow and state correction</x:v>
      </x:c>
      <x:c r="I228" s="2" t="str">
        <x:v>Implementation status pending verification</x:v>
      </x:c>
      <x:c r="J228" s="2" t="str">
        <x:v>Discovered root markdown excluding non-Skill files</x:v>
      </x:c>
      <x:c r="K228" s="2" t="str">
        <x:v>Candidates find the list excludes common non-Skill documents, actions are identifiable; whether fork matches unknown and cannot be written unmatched to determine the facts.</x:v>
      </x:c>
      <x:c r="L228" s="2" t="str">
        <x:v>Integrating task back-checking frozen source material: Candidate finds the list excludes common non-Skill files, actions identifiable; whether fork fits into unknown, cannot be written as unfused to determine the facts.</x:v>
      </x:c>
      <x:c r="M228" s="2" t="str">
        <x:v>https://github.com/earendil-works/pi/issues/2473</x:v>
      </x:c>
      <x:c r="N228" s="2" t="str">
        <x:v>F02</x:v>
      </x:c>
      <x:c r="O228" s="2" t="str">
        <x:v>Determinate from available evidence</x:v>
      </x:c>
    </x:row>
    <x:row r="229" ht="48.5" customHeight="1">
      <x:c r="A229" s="2" t="str">
        <x:v>P0415</x:v>
      </x:c>
      <x:c r="B229" s="2" t="str">
        <x:v>earendil-works/pi</x:v>
      </x:c>
      <x:c r="C229" s="2" t="n">
        <x:v>2992</x:v>
      </x:c>
      <x:c r="D229" s="2" t="str">
        <x:v>C07</x:v>
      </x:c>
      <x:c r="E229" s="2" t="str">
        <x:v>U1</x:v>
      </x:c>
      <x:c r="F229" s="2" t="str">
        <x:v>U1</x:v>
      </x:c>
      <x:c r="G229" s="2" t="str">
        <x:v>F02</x:v>
      </x:c>
      <x:c r="H229" s="2" t="str">
        <x:v>Execution-flow and state correction</x:v>
      </x:c>
      <x:c r="I229" s="2" t="str">
        <x:v>Insufficient association evidence</x:v>
      </x:c>
      <x:c r="J229" s="2" t="str">
        <x:v>Recommended action: Recommended to provide a meeting workbook update the entry and refresh the tool, footer and complete snapshot.</x:v>
      </x:c>
      <x:c r="K229" s="2" t="str">
        <x:v>Abstract No targeted corrections and explicitly unsupported; cwd fast-frozen presumption of need for synchronized sessions with tool operating status.  This is an additional closest-fit assignment, not an established repair fact.</x:v>
      </x:c>
      <x:c r="L229" s="2" t="str">
        <x:v>One closest-fit strategy is selected as additionally requested.  Abstract No targeted corrections and explicitly unsupported; cwd fast-frozen presumption of need for synchronized sessions with tool operating status.  This is an additional closest-fit assignment, not an established repair fact.  The original evidence review is U1; this does not establish that a targeted repair has been verified.</x:v>
      </x:c>
      <x:c r="M229" s="2" t="str">
        <x:v>https://github.com/earendil-works/pi/issues/2992</x:v>
      </x:c>
      <x:c r="N229" s="2" t="str">
        <x:v>U1</x:v>
      </x:c>
      <x:c r="O229" s="2" t="str">
        <x:v>Inferred from the primary root cause</x:v>
      </x:c>
    </x:row>
    <x:row r="230" ht="48.5" customHeight="1">
      <x:c r="A230" s="2" t="str">
        <x:v>P0419</x:v>
      </x:c>
      <x:c r="B230" s="2" t="str">
        <x:v>earendil-works/pi</x:v>
      </x:c>
      <x:c r="C230" s="2" t="n">
        <x:v>4016</x:v>
      </x:c>
      <x:c r="D230" s="2" t="str">
        <x:v>C04</x:v>
      </x:c>
      <x:c r="E230" s="2" t="str">
        <x:v>F01</x:v>
      </x:c>
      <x:c r="F230" s="2" t="str">
        <x:v>F01</x:v>
      </x:c>
      <x:c r="G230" s="2" t="str">
        <x:v>F01</x:v>
      </x:c>
      <x:c r="H230" s="2" t="str">
        <x:v>Representation and usage-contract alignment</x:v>
      </x:c>
      <x:c r="I230" s="2" t="str">
        <x:v>Candidate change not merged</x:v>
      </x:c>
      <x:c r="J230" s="2" t="str">
        <x:v>tool expansion fields inhibited by Fireworks compatibility</x:v>
      </x:c>
      <x:c r="K230" s="2" t="str">
        <x:v>The focus is correcting content representation, field transmission, static associations, or prompt/usage contracts.  Specific action: Suppress tool expansion fields according to Fireworks compatibility.  root cause Response: Candidate blocks the sending of unsupported eager streaming with caching control fields</x:v>
      </x:c>
      <x:c r="L230" s="2" t="str">
        <x:v>The two sets of labels agree and the original decision is retained; see the original annotations for the action and its association with the root cause.</x:v>
      </x:c>
      <x:c r="M230" s="2" t="str">
        <x:v>https://github.com/earendil-works/pi/issues/4016</x:v>
      </x:c>
      <x:c r="N230" s="2" t="str">
        <x:v>F01</x:v>
      </x:c>
      <x:c r="O230" s="2" t="str">
        <x:v>Determinate from available evidence</x:v>
      </x:c>
    </x:row>
    <x:row r="231" ht="48.5" customHeight="1">
      <x:c r="A231" s="2" t="str">
        <x:v>P0423</x:v>
      </x:c>
      <x:c r="B231" s="2" t="str">
        <x:v>earendil-works/pi</x:v>
      </x:c>
      <x:c r="C231" s="2" t="n">
        <x:v>4147</x:v>
      </x:c>
      <x:c r="D231" s="2" t="str">
        <x:v>C07</x:v>
      </x:c>
      <x:c r="E231" s="2" t="str">
        <x:v>F02</x:v>
      </x:c>
      <x:c r="F231" s="2" t="str">
        <x:v>F02</x:v>
      </x:c>
      <x:c r="G231" s="2" t="str">
        <x:v>F02</x:v>
      </x:c>
      <x:c r="H231" s="2" t="str">
        <x:v>Execution-flow and state correction</x:v>
      </x:c>
      <x:c r="I231" s="2" t="str">
        <x:v>Recorded as implemented in the source data</x:v>
      </x:c>
      <x:c r="J231" s="2" t="str">
        <x:v>The next time the model requests a refresh cycle configuration with real-time session status</x:v>
      </x:c>
      <x:c r="K231" s="2" t="str">
        <x:v>The focus is state selection, execution progression, scope, or lifecycle management in the normal path.  Concrete action: Refresh the loop configuration with real-time session status before the next model request.  root cause response: Enable new tool and model settings to be activated on the same lap for subsequent requests</x:v>
      </x:c>
      <x:c r="L231" s="2" t="str">
        <x:v>The two sets of labels agree and the original decision is retained; see the original annotations for the action and its association with the root cause.</x:v>
      </x:c>
      <x:c r="M231" s="2" t="str">
        <x:v>https://github.com/earendil-works/pi/issues/4147</x:v>
      </x:c>
      <x:c r="N231" s="2" t="str">
        <x:v>F02</x:v>
      </x:c>
      <x:c r="O231" s="2" t="str">
        <x:v>Determinate from available evidence</x:v>
      </x:c>
    </x:row>
    <x:row r="232" ht="48.5" customHeight="1">
      <x:c r="A232" s="2" t="str">
        <x:v>P0425</x:v>
      </x:c>
      <x:c r="B232" s="2" t="str">
        <x:v>earendil-works/pi</x:v>
      </x:c>
      <x:c r="C232" s="2" t="n">
        <x:v>4469</x:v>
      </x:c>
      <x:c r="D232" s="2" t="str">
        <x:v>C06</x:v>
      </x:c>
      <x:c r="E232" s="2" t="str">
        <x:v>U1</x:v>
      </x:c>
      <x:c r="F232" s="2" t="str">
        <x:v>U1</x:v>
      </x:c>
      <x:c r="G232" s="2" t="str">
        <x:v>F01</x:v>
      </x:c>
      <x:c r="H232" s="2" t="str">
        <x:v>Representation and usage-contract alignment</x:v>
      </x:c>
      <x:c r="I232" s="2" t="str">
        <x:v>Workaround only or existing behavior</x:v>
      </x:c>
      <x:c r="J232" s="2" t="str">
        <x:v>Recommended Action: Recommended to extend exposure to subagent status by clearly labeling it so as to circumvent the overall side effects. </x:v>
      </x:c>
      <x:c r="K232" s="2" t="str">
        <x:v>The abstract recommends registering the CLI logo and passing it to the invocation, the closest paternity field contract; no runMode interface has been added. This is an additional closest-fit assignment, not an established repair fact.</x:v>
      </x:c>
      <x:c r="L232" s="2" t="str">
        <x:v>One closest-fit strategy is selected as additionally requested.  The abstract recommends registering the CLI logo and passing it to the invocation, the closest paternity field contract; no runMode interface has been added. This is an additional closest-fit assignment, not an established repair fact.  The original evidence review is U1; this does not establish that a targeted repair has been verified.</x:v>
      </x:c>
      <x:c r="M232" s="2" t="str">
        <x:v>https://github.com/earendil-works/pi/issues/4469</x:v>
      </x:c>
      <x:c r="N232" s="2" t="str">
        <x:v>U1</x:v>
      </x:c>
      <x:c r="O232" s="2" t="str">
        <x:v>Closest fit to the intent described in the summary</x:v>
      </x:c>
    </x:row>
    <x:row r="233" ht="48.5" customHeight="1">
      <x:c r="A233" s="2" t="str">
        <x:v>P0427</x:v>
      </x:c>
      <x:c r="B233" s="2" t="str">
        <x:v>earendil-works/pi</x:v>
      </x:c>
      <x:c r="C233" s="2" t="n">
        <x:v>4617</x:v>
      </x:c>
      <x:c r="D233" s="2" t="str">
        <x:v>C20</x:v>
      </x:c>
      <x:c r="E233" s="2" t="str">
        <x:v>F02</x:v>
      </x:c>
      <x:c r="F233" s="2" t="str">
        <x:v>F02</x:v>
      </x:c>
      <x:c r="G233" s="2" t="str">
        <x:v>F02</x:v>
      </x:c>
      <x:c r="H233" s="2" t="str">
        <x:v>Execution-flow and state correction</x:v>
      </x:c>
      <x:c r="I233" s="2" t="str">
        <x:v>Partial coverage</x:v>
      </x:c>
      <x:c r="J233" s="2" t="str">
        <x:v>Dismantle extended preheating and client caching when the session is closed</x:v>
      </x:c>
      <x:c r="K233" s="2" t="str">
        <x:v>The focus is state selection, execution progression, scope, or lifecycle management in the normal path.  Specific action: Remove extended preheating and client caching when the session is closed.  root cause response: release extended event loop handle so that the process can exit</x:v>
      </x:c>
      <x:c r="L233" s="2" t="str">
        <x:v>The two sets of labels agree and the original decision is retained; see the original annotations for the action and its association with the root cause.</x:v>
      </x:c>
      <x:c r="M233" s="2" t="str">
        <x:v>https://github.com/earendil-works/pi/issues/4617</x:v>
      </x:c>
      <x:c r="N233" s="2" t="str">
        <x:v>F02</x:v>
      </x:c>
      <x:c r="O233" s="2" t="str">
        <x:v>Determinate from available evidence</x:v>
      </x:c>
    </x:row>
    <x:row r="234" ht="35" customHeight="1">
      <x:c r="A234" s="2" t="str">
        <x:v>P0428</x:v>
      </x:c>
      <x:c r="B234" s="2" t="str">
        <x:v>earendil-works/pi</x:v>
      </x:c>
      <x:c r="C234" s="2" t="n">
        <x:v>4811</x:v>
      </x:c>
      <x:c r="D234" s="2" t="str">
        <x:v>C02</x:v>
      </x:c>
      <x:c r="E234" s="2" t="str">
        <x:v>F03</x:v>
      </x:c>
      <x:c r="F234" s="2" t="str">
        <x:v>F03</x:v>
      </x:c>
      <x:c r="G234" s="2" t="str">
        <x:v>F03</x:v>
      </x:c>
      <x:c r="H234" s="2" t="str">
        <x:v>Validation and failure-path hardening</x:v>
      </x:c>
      <x:c r="I234" s="2" t="str">
        <x:v>Partial coverage</x:v>
      </x:c>
      <x:c r="J234" s="2" t="str">
        <x:v>Refuse or skip compression when no message is available</x:v>
      </x:c>
      <x:c r="K234" s="2" t="str">
        <x:v>Stop or skip compression when no message is available, just fail to defend F03, not claiming to have repaired the unpacking.  root cause response: Avoid submission of blank summaries and protect against failed inputs</x:v>
      </x:c>
      <x:c r="L234" s="2" t="str">
        <x:v>The two sets of labels agree and the original decision is retained; see the original annotations for the action and its association with the root cause.</x:v>
      </x:c>
      <x:c r="M234" s="2" t="str">
        <x:v>https://github.com/earendil-works/pi/issues/4811</x:v>
      </x:c>
      <x:c r="N234" s="2" t="str">
        <x:v>F03</x:v>
      </x:c>
      <x:c r="O234" s="2" t="str">
        <x:v>Determinate from available evidence</x:v>
      </x:c>
    </x:row>
    <x:row r="235" ht="48.5" customHeight="1">
      <x:c r="A235" s="2" t="str">
        <x:v>P0429</x:v>
      </x:c>
      <x:c r="B235" s="2" t="str">
        <x:v>earendil-works/pi</x:v>
      </x:c>
      <x:c r="C235" s="2" t="n">
        <x:v>5051</x:v>
      </x:c>
      <x:c r="D235" s="2" t="str">
        <x:v>C07</x:v>
      </x:c>
      <x:c r="E235" s="2" t="str">
        <x:v>F02</x:v>
      </x:c>
      <x:c r="F235" s="2" t="str">
        <x:v>F02</x:v>
      </x:c>
      <x:c r="G235" s="2" t="str">
        <x:v>F02</x:v>
      </x:c>
      <x:c r="H235" s="2" t="str">
        <x:v>Execution-flow and state correction</x:v>
      </x:c>
      <x:c r="I235" s="2" t="str">
        <x:v>Candidate change not merged</x:v>
      </x:c>
      <x:c r="J235" s="2" t="str">
        <x:v>Inter-cycle synchronization of real-time models tool with input to the loop configuration</x:v>
      </x:c>
      <x:c r="K235" s="2" t="str">
        <x:v>The focus is state selection, execution progression, scope, or lifecycle management in the normal path.  Specific action: Synchronize real-time model tool with the prompt to loop configuration.  root cause response: Set prepareNextTurn to avoid cyclic solidification of initial model snapshots</x:v>
      </x:c>
      <x:c r="L235" s="2" t="str">
        <x:v>The two sets of labels agree and the original decision is retained; see the original annotations for the action and its association with the root cause.</x:v>
      </x:c>
      <x:c r="M235" s="2" t="str">
        <x:v>https://github.com/earendil-works/pi/issues/5051</x:v>
      </x:c>
      <x:c r="N235" s="2" t="str">
        <x:v>F02</x:v>
      </x:c>
      <x:c r="O235" s="2" t="str">
        <x:v>Determinate from available evidence</x:v>
      </x:c>
    </x:row>
    <x:row r="236" ht="48.5" customHeight="1">
      <x:c r="A236" s="2" t="str">
        <x:v>P0430</x:v>
      </x:c>
      <x:c r="B236" s="2" t="str">
        <x:v>earendil-works/pi</x:v>
      </x:c>
      <x:c r="C236" s="2" t="n">
        <x:v>5303</x:v>
      </x:c>
      <x:c r="D236" s="2" t="str">
        <x:v>C11</x:v>
      </x:c>
      <x:c r="E236" s="2" t="str">
        <x:v>F02</x:v>
      </x:c>
      <x:c r="F236" s="2" t="str">
        <x:v>F02</x:v>
      </x:c>
      <x:c r="G236" s="2" t="str">
        <x:v>F02</x:v>
      </x:c>
      <x:c r="H236" s="2" t="str">
        <x:v>Execution-flow and state correction</x:v>
      </x:c>
      <x:c r="I236" s="2" t="str">
        <x:v>Recorded as implemented in the source data</x:v>
      </x:c>
      <x:c r="J236" s="2" t="str">
        <x:v>Receive output reset withdrawal bandwidth timing and alignment airflow</x:v>
      </x:c>
      <x:c r="K236" s="2" t="str">
        <x:v>The focus is state selection, execution progression, scope, or lifecycle management in the normal path.  Specific action: Receive output reset, exit bandwidth timing and outflow alignment.  root cause Response: Avoid the destruction of the still-output subprocess pipes by fixed 100 milliseconds</x:v>
      </x:c>
      <x:c r="L236" s="2" t="str">
        <x:v>The two sets of labels agree and the original decision is retained; see the original annotations for the action and its association with the root cause.</x:v>
      </x:c>
      <x:c r="M236" s="2" t="str">
        <x:v>https://github.com/earendil-works/pi/issues/5303</x:v>
      </x:c>
      <x:c r="N236" s="2" t="str">
        <x:v>F02</x:v>
      </x:c>
      <x:c r="O236" s="2" t="str">
        <x:v>Determinate from available evidence</x:v>
      </x:c>
    </x:row>
    <x:row r="237" ht="48.5" customHeight="1">
      <x:c r="A237" s="2" t="str">
        <x:v>P0432</x:v>
      </x:c>
      <x:c r="B237" s="2" t="str">
        <x:v>earendil-works/pi</x:v>
      </x:c>
      <x:c r="C237" s="2" t="n">
        <x:v>5309</x:v>
      </x:c>
      <x:c r="D237" s="2" t="str">
        <x:v>C04</x:v>
      </x:c>
      <x:c r="E237" s="2" t="str">
        <x:v>F01</x:v>
      </x:c>
      <x:c r="F237" s="2" t="str">
        <x:v>F01</x:v>
      </x:c>
      <x:c r="G237" s="2" t="str">
        <x:v>F01</x:v>
      </x:c>
      <x:c r="H237" s="2" t="str">
        <x:v>Representation and usage-contract alignment</x:v>
      </x:c>
      <x:c r="I237" s="2" t="str">
        <x:v>Recorded as implemented in the source data</x:v>
      </x:c>
      <x:c r="J237" s="2" t="str">
        <x:v>Re-placement of reasoning content by model compatibility requirements</x:v>
      </x:c>
      <x:c r="K237" s="2" t="str">
        <x:v>The focus is correcting content representation, field transmission, static associations, or prompt/usage contracts.  Concrete action: Re-placement of reasoning by model compatibility requirements.    root cause Corresponding: enabled Kimi tool Postals reasoning_content Meet the target compact</x:v>
      </x:c>
      <x:c r="L237" s="2" t="str">
        <x:v>The two sets of labels agree and the original decision is retained; see the original annotations for the action and its association with the root cause.</x:v>
      </x:c>
      <x:c r="M237" s="2" t="str">
        <x:v>https://github.com/earendil-works/pi/issues/5309</x:v>
      </x:c>
      <x:c r="N237" s="2" t="str">
        <x:v>F01</x:v>
      </x:c>
      <x:c r="O237" s="2" t="str">
        <x:v>Determinate from available evidence</x:v>
      </x:c>
    </x:row>
    <x:row r="238" ht="48.5" customHeight="1">
      <x:c r="A238" s="2" t="str">
        <x:v>P0433</x:v>
      </x:c>
      <x:c r="B238" s="2" t="str">
        <x:v>earendil-works/pi</x:v>
      </x:c>
      <x:c r="C238" s="2" t="n">
        <x:v>5573</x:v>
      </x:c>
      <x:c r="D238" s="2" t="str">
        <x:v>C11</x:v>
      </x:c>
      <x:c r="E238" s="2" t="str">
        <x:v>F02</x:v>
      </x:c>
      <x:c r="F238" s="2" t="str">
        <x:v>F02</x:v>
      </x:c>
      <x:c r="G238" s="2" t="str">
        <x:v>F02</x:v>
      </x:c>
      <x:c r="H238" s="2" t="str">
        <x:v>Execution-flow and state correction</x:v>
      </x:c>
      <x:c r="I238" s="2" t="str">
        <x:v>Recorded as implemented in the source data</x:v>
      </x:c>
      <x:c r="J238" s="2" t="str">
        <x:v>tool progressive feedback is limited to the lifecycle of executing commitments</x:v>
      </x:c>
      <x:c r="K238" s="2" t="str">
        <x:v>The focus is state selection, execution progression, scope, or lifecycle management in the normal path.  Specific Action: tool progressive feedback limited to the lifecycle of execution of commitments.  root cause Response: Ignoring the update delay after settle is executed to prevent activeRun rejection from being found</x:v>
      </x:c>
      <x:c r="L238" s="2" t="str">
        <x:v>The two sets of labels agree and the original decision is retained; see the original annotations for the action and its association with the root cause.</x:v>
      </x:c>
      <x:c r="M238" s="2" t="str">
        <x:v>https://github.com/earendil-works/pi/issues/5573</x:v>
      </x:c>
      <x:c r="N238" s="2" t="str">
        <x:v>F02</x:v>
      </x:c>
      <x:c r="O238" s="2" t="str">
        <x:v>Determinate from available evidence</x:v>
      </x:c>
    </x:row>
    <x:row r="239" ht="48.5" customHeight="1">
      <x:c r="A239" s="2" t="str">
        <x:v>P0443</x:v>
      </x:c>
      <x:c r="B239" s="2" t="str">
        <x:v>earendil-works/pi</x:v>
      </x:c>
      <x:c r="C239" s="2" t="n">
        <x:v>7395</x:v>
      </x:c>
      <x:c r="D239" s="2" t="str">
        <x:v>C20</x:v>
      </x:c>
      <x:c r="E239" s="2" t="str">
        <x:v>F02</x:v>
      </x:c>
      <x:c r="F239" s="2" t="str">
        <x:v>F02</x:v>
      </x:c>
      <x:c r="G239" s="2" t="str">
        <x:v>F02</x:v>
      </x:c>
      <x:c r="H239" s="2" t="str">
        <x:v>Execution-flow and state correction</x:v>
      </x:c>
      <x:c r="I239" s="2" t="str">
        <x:v>Recorded as implemented in the source data</x:v>
      </x:c>
      <x:c r="J239" s="2" t="str">
        <x:v>Flow-only output increases and standard output backpressures</x:v>
      </x:c>
      <x:c r="K239" s="2" t="str">
        <x:v>Dominant incremental flow output with stdout backpressure avoids running queue backpressure, selecting F02; external JSON structure changes F01 for equally important secondary movements.  root cause response: converting the cumulative quick-light repeat sequencing to linear output and limiting queues to stand empty</x:v>
      </x:c>
      <x:c r="L239" s="2" t="str">
        <x:v>The two sets of labels agree and the original decision is retained; see the original annotations for the action and its association with the root cause.</x:v>
      </x:c>
      <x:c r="M239" s="2" t="str">
        <x:v>https://github.com/earendil-works/pi/issues/7395</x:v>
      </x:c>
      <x:c r="N239" s="2" t="str">
        <x:v>F02</x:v>
      </x:c>
      <x:c r="O239" s="2" t="str">
        <x:v>Determinate from available evidence</x:v>
      </x:c>
    </x:row>
    <x:row r="240" ht="48.5" customHeight="1">
      <x:c r="A240" s="2" t="str">
        <x:v>P0446</x:v>
      </x:c>
      <x:c r="B240" s="2" t="str">
        <x:v>earendil-works/pi</x:v>
      </x:c>
      <x:c r="C240" s="2" t="n">
        <x:v>7744</x:v>
      </x:c>
      <x:c r="D240" s="2" t="str">
        <x:v>C04</x:v>
      </x:c>
      <x:c r="E240" s="2" t="str">
        <x:v>F01</x:v>
      </x:c>
      <x:c r="F240" s="2" t="str">
        <x:v>F01</x:v>
      </x:c>
      <x:c r="G240" s="2" t="str">
        <x:v>F01</x:v>
      </x:c>
      <x:c r="H240" s="2" t="str">
        <x:v>Representation and usage-contract alignment</x:v>
      </x:c>
      <x:c r="I240" s="2" t="str">
        <x:v>Candidate change not merged</x:v>
      </x:c>
      <x:c r="J240" s="2" t="str">
        <x:v>tool results strip media control markers</x:v>
      </x:c>
      <x:c r="K240" s="2" t="str">
        <x:v>The focus is correcting content representation, field transmission, static associations, or prompt/usage contracts.  Specific action: tool results stripping media control markers.  root cause response: Prototype in two provider conversion paths removing semantic markers that do not correspond to media data</x:v>
      </x:c>
      <x:c r="L240" s="2" t="str">
        <x:v>The two sets of labels agree and the original decision is retained; see the original annotations for the action and its association with the root cause.</x:v>
      </x:c>
      <x:c r="M240" s="2" t="str">
        <x:v>https://github.com/earendil-works/pi/issues/7744</x:v>
      </x:c>
      <x:c r="N240" s="2" t="str">
        <x:v>F01</x:v>
      </x:c>
      <x:c r="O240" s="2" t="str">
        <x:v>Determinate from available evidence</x:v>
      </x:c>
    </x:row>
    <x:row r="241" ht="48.5" customHeight="1">
      <x:c r="A241" s="2" t="str">
        <x:v>P0452</x:v>
      </x:c>
      <x:c r="B241" s="2" t="str">
        <x:v>earendil-works/pi</x:v>
      </x:c>
      <x:c r="C241" s="2" t="n">
        <x:v>8611</x:v>
      </x:c>
      <x:c r="D241" s="2" t="str">
        <x:v>C06</x:v>
      </x:c>
      <x:c r="E241" s="2" t="str">
        <x:v>F02</x:v>
      </x:c>
      <x:c r="F241" s="2" t="str">
        <x:v>F02</x:v>
      </x:c>
      <x:c r="G241" s="2" t="str">
        <x:v>F02</x:v>
      </x:c>
      <x:c r="H241" s="2" t="str">
        <x:v>Execution-flow and state correction</x:v>
      </x:c>
      <x:c r="I241" s="2" t="str">
        <x:v>Recorded as implemented in the source data</x:v>
      </x:c>
      <x:c r="J241" s="2" t="str">
        <x:v>Reserved for middle tool part output when reconstructing the interface</x:v>
      </x:c>
      <x:c r="K241" s="2" t="str">
        <x:v>The focus is state selection, execution progression, scope, or lifecycle management in the normal path.  Specific action: Reserving the middle tool portion output when reconstructing the interface.  root cause Response: Provisional results of switching thought blocks no longer lost only existing components</x:v>
      </x:c>
      <x:c r="L241" s="2" t="str">
        <x:v>The two sets of labels agree and the original decision is retained; see the original annotations for the action and its association with the root cause.</x:v>
      </x:c>
      <x:c r="M241" s="2" t="str">
        <x:v>https://github.com/earendil-works/pi/issues/8611</x:v>
      </x:c>
      <x:c r="N241" s="2" t="str">
        <x:v>F02</x:v>
      </x:c>
      <x:c r="O241" s="2" t="str">
        <x:v>Determinate from available evidence</x:v>
      </x:c>
    </x:row>
    <x:row r="242" ht="48.5" customHeight="1">
      <x:c r="A242" s="2" t="str">
        <x:v>P0459</x:v>
      </x:c>
      <x:c r="B242" s="2" t="str">
        <x:v>earendil-works/pi</x:v>
      </x:c>
      <x:c r="C242" s="2" t="n">
        <x:v>9740</x:v>
      </x:c>
      <x:c r="D242" s="2" t="str">
        <x:v>C08</x:v>
      </x:c>
      <x:c r="E242" s="2" t="str">
        <x:v>F02</x:v>
      </x:c>
      <x:c r="F242" s="2" t="str">
        <x:v>F02</x:v>
      </x:c>
      <x:c r="G242" s="2" t="str">
        <x:v>F02</x:v>
      </x:c>
      <x:c r="H242" s="2" t="str">
        <x:v>Execution-flow and state correction</x:v>
      </x:c>
      <x:c r="I242" s="2" t="str">
        <x:v>Recorded as implemented in the source data</x:v>
      </x:c>
      <x:c r="J242" s="2" t="str">
        <x:v>fallback Security Assistant Compresses Borders When the Tail is Overbudgeted</x:v>
      </x:c>
      <x:c r="K242" s="2" t="str">
        <x:v>Select a new security compression cut-off point for the normal budget override and advance F02 with context according to the running budget; non-complete post-abnormal bottom.  root cause response: Legal cutouts can also be found in operation, preserved as results for tool invocation and summarized early history</x:v>
      </x:c>
      <x:c r="L242" s="2" t="str">
        <x:v>The two sets of labels agree and the original decision is retained; see the original annotations for the action and its association with the root cause.</x:v>
      </x:c>
      <x:c r="M242" s="2" t="str">
        <x:v>https://github.com/earendil-works/pi/issues/9740</x:v>
      </x:c>
      <x:c r="N242" s="2" t="str">
        <x:v>F02</x:v>
      </x:c>
      <x:c r="O242" s="2" t="str">
        <x:v>Determinate from available evidence</x:v>
      </x:c>
    </x:row>
    <x:row r="243" ht="48.5" customHeight="1">
      <x:c r="A243" s="2" t="str">
        <x:v>P0465</x:v>
      </x:c>
      <x:c r="B243" s="2" t="str">
        <x:v>earendil-works/pi</x:v>
      </x:c>
      <x:c r="C243" s="2" t="n">
        <x:v>10188</x:v>
      </x:c>
      <x:c r="D243" s="2" t="str">
        <x:v>C18</x:v>
      </x:c>
      <x:c r="E243" s="2" t="str">
        <x:v>F01</x:v>
      </x:c>
      <x:c r="F243" s="2" t="str">
        <x:v>F01</x:v>
      </x:c>
      <x:c r="G243" s="2" t="str">
        <x:v>F01</x:v>
      </x:c>
      <x:c r="H243" s="2" t="str">
        <x:v>Representation and usage-contract alignment</x:v>
      </x:c>
      <x:c r="I243" s="2" t="str">
        <x:v>Recorded as implemented in the source data</x:v>
      </x:c>
      <x:c r="J243" s="2" t="str">
        <x:v>Packaging with no receiver invocation fetch</x:v>
      </x:c>
      <x:c r="K243" s="2" t="str">
        <x:v>The focus is correcting content representation, field transmission, static associations, or prompt/usage contracts.  Specific actions: Packaging with no receiver invocation fetch.  root cause Response: Avoid platform fetch being tied to transport or context while Illegal invocation</x:v>
      </x:c>
      <x:c r="L243" s="2" t="str">
        <x:v>The two sets of labels agree and the original decision is retained; see the original annotations for the action and its association with the root cause.</x:v>
      </x:c>
      <x:c r="M243" s="2" t="str">
        <x:v>https://github.com/earendil-works/pi/issues/10188</x:v>
      </x:c>
      <x:c r="N243" s="2" t="str">
        <x:v>F01</x:v>
      </x:c>
      <x:c r="O243" s="2" t="str">
        <x:v>Determinate from available evidence</x:v>
      </x:c>
    </x:row>
    <x:row r="244" ht="48.5" customHeight="1">
      <x:c r="A244" s="2" t="str">
        <x:v>P0466</x:v>
      </x:c>
      <x:c r="B244" s="2" t="str">
        <x:v>earendil-works/pi</x:v>
      </x:c>
      <x:c r="C244" s="2" t="n">
        <x:v>10192</x:v>
      </x:c>
      <x:c r="D244" s="2" t="str">
        <x:v>C08</x:v>
      </x:c>
      <x:c r="E244" s="2" t="str">
        <x:v>F01</x:v>
      </x:c>
      <x:c r="F244" s="2" t="str">
        <x:v>F01</x:v>
      </x:c>
      <x:c r="G244" s="2" t="str">
        <x:v>F01</x:v>
      </x:c>
      <x:c r="H244" s="2" t="str">
        <x:v>Representation and usage-contract alignment</x:v>
      </x:c>
      <x:c r="I244" s="2" t="str">
        <x:v>Recorded as implemented in the source data</x:v>
      </x:c>
      <x:c r="J244" s="2" t="str">
        <x:v>The tool list excludes hidden direct statements</x:v>
      </x:c>
      <x:c r="K244" s="2" t="str">
        <x:v>The focus is correcting content representation, field transmission, static associations, or prompt/usage contracts.  Specific action: prompt tool list exclusion of hidden direct statements.    root cause Corresponding: let the model see direct invocation tool and actual requests schema Unanimous</x:v>
      </x:c>
      <x:c r="L244" s="2" t="str">
        <x:v>The two sets of labels agree and the original decision is retained; see the original annotations for the action and its association with the root cause.</x:v>
      </x:c>
      <x:c r="M244" s="2" t="str">
        <x:v>https://github.com/earendil-works/pi/issues/10192</x:v>
      </x:c>
      <x:c r="N244" s="2" t="str">
        <x:v>F01</x:v>
      </x:c>
      <x:c r="O244" s="2" t="str">
        <x:v>Determinate from available evidence</x:v>
      </x:c>
    </x:row>
    <x:row r="245" ht="48.5" customHeight="1">
      <x:c r="A245" s="2" t="str">
        <x:v>P0467</x:v>
      </x:c>
      <x:c r="B245" s="2" t="str">
        <x:v>earendil-works/pi</x:v>
      </x:c>
      <x:c r="C245" s="2" t="n">
        <x:v>10215</x:v>
      </x:c>
      <x:c r="D245" s="2" t="str">
        <x:v>C12</x:v>
      </x:c>
      <x:c r="E245" s="2" t="str">
        <x:v>F03</x:v>
      </x:c>
      <x:c r="F245" s="2" t="str">
        <x:v>F03</x:v>
      </x:c>
      <x:c r="G245" s="2" t="str">
        <x:v>F03</x:v>
      </x:c>
      <x:c r="H245" s="2" t="str">
        <x:v>Validation and failure-path hardening</x:v>
      </x:c>
      <x:c r="I245" s="2" t="str">
        <x:v>Recorded as implemented in the source data</x:v>
      </x:c>
      <x:c r="J245" s="2" t="str">
        <x:v>Strictly scan images Base64 and identify format wizards</x:v>
      </x:c>
      <x:c r="K245" s="2" t="str">
        <x:v>The focus is validation, controlled rejection, exception classification, or fallback after failure.  Concrete action: rigorously validate Base64 images and identify the format magic number.  root cause Response: Refusing to illegally cut images before entry into history to prevent subsequent failure of the provider's request</x:v>
      </x:c>
      <x:c r="L245" s="2" t="str">
        <x:v>The two sets of labels agree and the original decision is retained; see the original annotations for the action and its association with the root cause.</x:v>
      </x:c>
      <x:c r="M245" s="2" t="str">
        <x:v>https://github.com/earendil-works/pi/issues/10215</x:v>
      </x:c>
      <x:c r="N245" s="2" t="str">
        <x:v>F03</x:v>
      </x:c>
      <x:c r="O245" s="2" t="str">
        <x:v>Determinate from available evidence</x:v>
      </x:c>
    </x:row>
    <x:row r="246" ht="48.5" customHeight="1">
      <x:c r="A246" s="2" t="str">
        <x:v>P0468</x:v>
      </x:c>
      <x:c r="B246" s="2" t="str">
        <x:v>earendil-works/pi</x:v>
      </x:c>
      <x:c r="C246" s="2" t="n">
        <x:v>10292</x:v>
      </x:c>
      <x:c r="D246" s="2" t="str">
        <x:v>C04</x:v>
      </x:c>
      <x:c r="E246" s="2" t="str">
        <x:v>F01</x:v>
      </x:c>
      <x:c r="F246" s="2" t="str">
        <x:v>F01</x:v>
      </x:c>
      <x:c r="G246" s="2" t="str">
        <x:v>F01</x:v>
      </x:c>
      <x:c r="H246" s="2" t="str">
        <x:v>Representation and usage-contract alignment</x:v>
      </x:c>
      <x:c r="I246" s="2" t="str">
        <x:v>Recorded as implemented in the source data</x:v>
      </x:c>
      <x:c r="J246" s="2" t="str">
        <x:v>Non-PNG images are encoded and sent under the Kitty protocol</x:v>
      </x:c>
      <x:c r="K246" s="2" t="str">
        <x:v>The focus is correcting content representation, field transmission, static associations, or prompt/usage contracts.  Specific action: Transcoding non-PNG images to be sent under the Kitty protocol.  root cause response: Real data conversion matches PNG protocol fields, failed or no converter when text fallback</x:v>
      </x:c>
      <x:c r="L246" s="2" t="str">
        <x:v>The two sets of labels agree and the original decision is retained; see the original annotations for the action and its association with the root cause.</x:v>
      </x:c>
      <x:c r="M246" s="2" t="str">
        <x:v>https://github.com/earendil-works/pi/issues/10292</x:v>
      </x:c>
      <x:c r="N246" s="2" t="str">
        <x:v>F01</x:v>
      </x:c>
      <x:c r="O246" s="2" t="str">
        <x:v>Determinate from available evidence</x:v>
      </x:c>
    </x:row>
    <x:row r="247" ht="35" customHeight="1">
      <x:c r="A247" s="2" t="str">
        <x:v>R0242</x:v>
      </x:c>
      <x:c r="B247" s="2" t="str">
        <x:v>NousResearch/hermes-agent</x:v>
      </x:c>
      <x:c r="C247" s="2" t="n">
        <x:v>76938</x:v>
      </x:c>
      <x:c r="D247" s="2" t="str">
        <x:v>C08</x:v>
      </x:c>
      <x:c r="E247" s="2" t="str">
        <x:v>F01</x:v>
      </x:c>
      <x:c r="F247" s="2" t="str">
        <x:v>F01</x:v>
      </x:c>
      <x:c r="G247" s="2" t="str">
        <x:v>F01</x:v>
      </x:c>
      <x:c r="H247" s="2" t="str">
        <x:v>Representation and usage-contract alignment</x:v>
      </x:c>
      <x:c r="I247" s="2" t="str">
        <x:v>Recorded as implemented in the source data</x:v>
      </x:c>
      <x:c r="J247" s="2" t="str">
        <x:v>Review fork's succession temporary prompt for pre-filled messages and provider fixed items</x:v>
      </x:c>
      <x:c r="K247" s="2" t="str">
        <x:v>Complete the parent request context parameter to eliminate the cached front bytes fork</x:v>
      </x:c>
      <x:c r="L247" s="2" t="str">
        <x:v>The two sets of labels agree and the original decision is retained; see the original annotations for the action and its association with the root cause.</x:v>
      </x:c>
      <x:c r="M247" s="2" t="str">
        <x:v>https://github.com/NousResearch/hermes-agent/issues/76938</x:v>
      </x:c>
      <x:c r="N247" s="2" t="str">
        <x:v>F01</x:v>
      </x:c>
      <x:c r="O247" s="2" t="str">
        <x:v>Determinate from available evidence</x:v>
      </x:c>
    </x:row>
    <x:row r="248" ht="35" customHeight="1">
      <x:c r="A248" s="2" t="str">
        <x:v>R0241</x:v>
      </x:c>
      <x:c r="B248" s="2" t="str">
        <x:v>NousResearch/hermes-agent</x:v>
      </x:c>
      <x:c r="C248" s="2" t="n">
        <x:v>75228</x:v>
      </x:c>
      <x:c r="D248" s="2" t="str">
        <x:v>C21</x:v>
      </x:c>
      <x:c r="E248" s="2" t="str">
        <x:v>F02</x:v>
      </x:c>
      <x:c r="F248" s="2" t="str">
        <x:v>F04</x:v>
      </x:c>
      <x:c r="G248" s="2" t="str">
        <x:v>F02</x:v>
      </x:c>
      <x:c r="H248" s="2" t="str">
        <x:v>Execution-flow and state correction</x:v>
      </x:c>
      <x:c r="I248" s="2" t="str">
        <x:v>Recorded as implemented in the source data</x:v>
      </x:c>
      <x:c r="J248" s="2" t="str">
        <x:v>Remnants and records of non-recovered items before recovery</x:v>
      </x:c>
      <x:c r="K248" s="2" t="str">
        <x:v>Curator operational snapshot recovery rebuilds existing Skill trees, uninstalled or dispatched cargo transactions; clears residual, restores and retains failure items as rollback status.</x:v>
      </x:c>
      <x:c r="L248" s="2" t="str">
        <x:v>Calculated integrated retest: Curator runtime snapshot restore reconstructed existing Skill trees, uninstalled or dispatched cargo transactions; clear residual, recovery and retained failure items as rollback status.</x:v>
      </x:c>
      <x:c r="M248" s="2" t="str">
        <x:v>https://github.com/NousResearch/hermes-agent/issues/75228</x:v>
      </x:c>
      <x:c r="N248" s="2" t="str">
        <x:v>F02</x:v>
      </x:c>
      <x:c r="O248" s="2" t="str">
        <x:v>Determinate from available evidence</x:v>
      </x:c>
    </x:row>
    <x:row r="249" ht="35" customHeight="1">
      <x:c r="A249" s="2" t="str">
        <x:v>R0240</x:v>
      </x:c>
      <x:c r="B249" s="2" t="str">
        <x:v>NousResearch/hermes-agent</x:v>
      </x:c>
      <x:c r="C249" s="2" t="n">
        <x:v>74811</x:v>
      </x:c>
      <x:c r="D249" s="2" t="str">
        <x:v>C13</x:v>
      </x:c>
      <x:c r="E249" s="2" t="str">
        <x:v>F03</x:v>
      </x:c>
      <x:c r="F249" s="2" t="str">
        <x:v>F03</x:v>
      </x:c>
      <x:c r="G249" s="2" t="str">
        <x:v>F03</x:v>
      </x:c>
      <x:c r="H249" s="2" t="str">
        <x:v>Validation and failure-path hardening</x:v>
      </x:c>
      <x:c r="I249" s="2" t="str">
        <x:v>Partial coverage</x:v>
      </x:c>
      <x:c r="J249" s="2" t="str">
        <x:v>Light Cloning None merge-base when fallback SHA Second value determination</x:v>
      </x:c>
      <x:c r="K249" s="2" t="str">
        <x:v>Limit the number of incorrect updates that cannot be credibly counted</x:v>
      </x:c>
      <x:c r="L249" s="2" t="str">
        <x:v>The two sets of labels agree and the original decision is retained; see the original annotations for the action and its association with the root cause.</x:v>
      </x:c>
      <x:c r="M249" s="2" t="str">
        <x:v>https://github.com/NousResearch/hermes-agent/issues/74811</x:v>
      </x:c>
      <x:c r="N249" s="2" t="str">
        <x:v>F03</x:v>
      </x:c>
      <x:c r="O249" s="2" t="str">
        <x:v>Determinate from available evidence</x:v>
      </x:c>
    </x:row>
    <x:row r="250" ht="35" customHeight="1">
      <x:c r="A250" s="2" t="str">
        <x:v>R0239</x:v>
      </x:c>
      <x:c r="B250" s="2" t="str">
        <x:v>NousResearch/hermes-agent</x:v>
      </x:c>
      <x:c r="C250" s="2" t="n">
        <x:v>72215</x:v>
      </x:c>
      <x:c r="D250" s="2" t="str">
        <x:v>C09</x:v>
      </x:c>
      <x:c r="E250" s="2" t="str">
        <x:v>F03</x:v>
      </x:c>
      <x:c r="F250" s="2" t="str">
        <x:v>F03</x:v>
      </x:c>
      <x:c r="G250" s="2" t="str">
        <x:v>F03</x:v>
      </x:c>
      <x:c r="H250" s="2" t="str">
        <x:v>Validation and failure-path hardening</x:v>
      </x:c>
      <x:c r="I250" s="2" t="str">
        <x:v>Recorded as implemented in the source data</x:v>
      </x:c>
      <x:c r="J250" s="2" t="str">
        <x:v>Pass the original source and refuse to update the cross-register</x:v>
      </x:c>
      <x:c r="K250" s="2" t="str">
        <x:v>Blocking an incorrect Skill replacement when the original source is unavailable</x:v>
      </x:c>
      <x:c r="L250" s="2" t="str">
        <x:v>The two sets of labels agree and the original decision is retained; see the original annotations for the action and its association with the root cause.</x:v>
      </x:c>
      <x:c r="M250" s="2" t="str">
        <x:v>https://github.com/NousResearch/hermes-agent/issues/72215</x:v>
      </x:c>
      <x:c r="N250" s="2" t="str">
        <x:v>F03</x:v>
      </x:c>
      <x:c r="O250" s="2" t="str">
        <x:v>Determinate from available evidence</x:v>
      </x:c>
    </x:row>
    <x:row r="251" ht="35" customHeight="1">
      <x:c r="A251" s="2" t="str">
        <x:v>R0238</x:v>
      </x:c>
      <x:c r="B251" s="2" t="str">
        <x:v>NousResearch/hermes-agent</x:v>
      </x:c>
      <x:c r="C251" s="2" t="n">
        <x:v>70856</x:v>
      </x:c>
      <x:c r="D251" s="2" t="str">
        <x:v>C15</x:v>
      </x:c>
      <x:c r="E251" s="2" t="str">
        <x:v>F01</x:v>
      </x:c>
      <x:c r="F251" s="2" t="str">
        <x:v>F01</x:v>
      </x:c>
      <x:c r="G251" s="2" t="str">
        <x:v>F01</x:v>
      </x:c>
      <x:c r="H251" s="2" t="str">
        <x:v>Representation and usage-contract alignment</x:v>
      </x:c>
      <x:c r="I251" s="2" t="str">
        <x:v>Recorded as implemented in the source data</x:v>
      </x:c>
      <x:c r="J251" s="2" t="str">
        <x:v>New Document Press umask Set mode and use POSIX permission Expression</x:v>
      </x:c>
      <x:c r="K251" s="2" t="str">
        <x:v>Make the temporary file final permission in accordance with the new document default not fixed 0600</x:v>
      </x:c>
      <x:c r="L251" s="2" t="str">
        <x:v>The two sets of labels agree and the original decision is retained; see the original annotations for the action and its association with the root cause.</x:v>
      </x:c>
      <x:c r="M251" s="2" t="str">
        <x:v>https://github.com/NousResearch/hermes-agent/issues/70856</x:v>
      </x:c>
      <x:c r="N251" s="2" t="str">
        <x:v>F01</x:v>
      </x:c>
      <x:c r="O251" s="2" t="str">
        <x:v>Determinate from available evidence</x:v>
      </x:c>
    </x:row>
    <x:row r="252" ht="35" customHeight="1">
      <x:c r="A252" s="2" t="str">
        <x:v>R0237</x:v>
      </x:c>
      <x:c r="B252" s="2" t="str">
        <x:v>NousResearch/hermes-agent</x:v>
      </x:c>
      <x:c r="C252" s="2" t="n">
        <x:v>68311</x:v>
      </x:c>
      <x:c r="D252" s="2" t="str">
        <x:v>C21</x:v>
      </x:c>
      <x:c r="E252" s="2" t="str">
        <x:v>F03</x:v>
      </x:c>
      <x:c r="F252" s="2" t="str">
        <x:v>F03</x:v>
      </x:c>
      <x:c r="G252" s="2" t="str">
        <x:v>F03</x:v>
      </x:c>
      <x:c r="H252" s="2" t="str">
        <x:v>Validation and failure-path hardening</x:v>
      </x:c>
      <x:c r="I252" s="2" t="str">
        <x:v>Partial coverage</x:v>
      </x:c>
      <x:c r="J252" s="2" t="str">
        <x:v>Detection of guard before testing and rejection at missing</x:v>
      </x:c>
      <x:c r="K252" s="2" t="str">
        <x:v>Just the ground fail-closed Guards, stop fixture missing Then we'll execute the real sabotage order</x:v>
      </x:c>
      <x:c r="L252" s="2" t="str">
        <x:v>The two sets of labels agree and the original decision is retained; see the original annotations for the action and its association with the root cause.</x:v>
      </x:c>
      <x:c r="M252" s="2" t="str">
        <x:v>https://github.com/NousResearch/hermes-agent/issues/68311</x:v>
      </x:c>
      <x:c r="N252" s="2" t="str">
        <x:v>F03</x:v>
      </x:c>
      <x:c r="O252" s="2" t="str">
        <x:v>Determinate from available evidence</x:v>
      </x:c>
    </x:row>
    <x:row r="253" ht="35" customHeight="1">
      <x:c r="A253" s="2" t="str">
        <x:v>R0236</x:v>
      </x:c>
      <x:c r="B253" s="2" t="str">
        <x:v>NousResearch/hermes-agent</x:v>
      </x:c>
      <x:c r="C253" s="2" t="n">
        <x:v>67052</x:v>
      </x:c>
      <x:c r="D253" s="2" t="str">
        <x:v>C13</x:v>
      </x:c>
      <x:c r="E253" s="2" t="str">
        <x:v>F01</x:v>
      </x:c>
      <x:c r="F253" s="2" t="str">
        <x:v>F01</x:v>
      </x:c>
      <x:c r="G253" s="2" t="str">
        <x:v>F01</x:v>
      </x:c>
      <x:c r="H253" s="2" t="str">
        <x:v>Representation and usage-contract alignment</x:v>
      </x:c>
      <x:c r="I253" s="2" t="str">
        <x:v>Recorded as implemented in the source data</x:v>
      </x:c>
      <x:c r="J253" s="2" t="str">
        <x:v>Through the results of structured actions and the front-and-back parameters</x:v>
      </x:c>
      <x:c r="K253" s="2" t="str">
        <x:v>Avoid success of the transmission being compressed into success of the operation and retain observation contracts such as verified</x:v>
      </x:c>
      <x:c r="L253" s="2" t="str">
        <x:v>The two sets of labels agree and the original decision is retained; see the original annotations for the action and its association with the root cause.</x:v>
      </x:c>
      <x:c r="M253" s="2" t="str">
        <x:v>https://github.com/NousResearch/hermes-agent/issues/67052</x:v>
      </x:c>
      <x:c r="N253" s="2" t="str">
        <x:v>F01</x:v>
      </x:c>
      <x:c r="O253" s="2" t="str">
        <x:v>Determinate from available evidence</x:v>
      </x:c>
    </x:row>
    <x:row r="254" ht="48.5" customHeight="1">
      <x:c r="A254" s="2" t="str">
        <x:v>R0230</x:v>
      </x:c>
      <x:c r="B254" s="2" t="str">
        <x:v>NousResearch/hermes-agent</x:v>
      </x:c>
      <x:c r="C254" s="2" t="n">
        <x:v>60381</x:v>
      </x:c>
      <x:c r="D254" s="2" t="str">
        <x:v>C04</x:v>
      </x:c>
      <x:c r="E254" s="2" t="str">
        <x:v>U1</x:v>
      </x:c>
      <x:c r="F254" s="2" t="str">
        <x:v>U1</x:v>
      </x:c>
      <x:c r="G254" s="2" t="str">
        <x:v>F02</x:v>
      </x:c>
      <x:c r="H254" s="2" t="str">
        <x:v>Execution-flow and state correction</x:v>
      </x:c>
      <x:c r="I254" s="2" t="str">
        <x:v>Workaround only or existing behavior</x:v>
      </x:c>
      <x:c r="J254" s="2" t="str">
        <x:v>Recommended action: It is recommended to verify the visual model by selecting the chain and prioritizing the explicit model, then verifying the actual endpoint. </x:v>
      </x:c>
      <x:c r="K254" s="2" t="str">
        <x:v>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x:v>
      </x:c>
      <x:c r="L254" s="2" t="str">
        <x:v>One closest-fit strategy is selected as additionally requested.  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  The original evidence review is U1; this does not establish that a targeted repair has been verified.</x:v>
      </x:c>
      <x:c r="M254" s="2" t="str">
        <x:v>https://github.com/NousResearch/hermes-agent/issues/60381</x:v>
      </x:c>
      <x:c r="N254" s="2" t="str">
        <x:v>U1</x:v>
      </x:c>
      <x:c r="O254" s="2" t="str">
        <x:v>Closest fit to the intent described in the summary</x:v>
      </x:c>
    </x:row>
    <x:row r="255" ht="35" customHeight="1">
      <x:c r="A255" s="2" t="str">
        <x:v>R0229</x:v>
      </x:c>
      <x:c r="B255" s="2" t="str">
        <x:v>NousResearch/hermes-agent</x:v>
      </x:c>
      <x:c r="C255" s="2" t="n">
        <x:v>60328</x:v>
      </x:c>
      <x:c r="D255" s="2" t="str">
        <x:v>C07</x:v>
      </x:c>
      <x:c r="E255" s="2" t="str">
        <x:v>F02</x:v>
      </x:c>
      <x:c r="F255" s="2" t="str">
        <x:v>F02</x:v>
      </x:c>
      <x:c r="G255" s="2" t="str">
        <x:v>F02</x:v>
      </x:c>
      <x:c r="H255" s="2" t="str">
        <x:v>Execution-flow and state correction</x:v>
      </x:c>
      <x:c r="I255" s="2" t="str">
        <x:v>Recorded as implemented in the source data</x:v>
      </x:c>
      <x:c r="J255" s="2" t="str">
        <x:v>Set authorization mode environment variable before the plugins are discovered</x:v>
      </x:c>
      <x:c r="K255" s="2" t="str">
        <x:v>Adjust the start timing to prevent import freezing of old values</x:v>
      </x:c>
      <x:c r="L255" s="2" t="str">
        <x:v>The two sets of labels agree and the original decision is retained; see the original annotations for the action and its association with the root cause.</x:v>
      </x:c>
      <x:c r="M255" s="2" t="str">
        <x:v>https://github.com/NousResearch/hermes-agent/issues/60328</x:v>
      </x:c>
      <x:c r="N255" s="2" t="str">
        <x:v>F02</x:v>
      </x:c>
      <x:c r="O255" s="2" t="str">
        <x:v>Determinate from available evidence</x:v>
      </x:c>
    </x:row>
    <x:row r="256" ht="48.5" customHeight="1">
      <x:c r="A256" s="2" t="str">
        <x:v>R0228</x:v>
      </x:c>
      <x:c r="B256" s="2" t="str">
        <x:v>NousResearch/hermes-agent</x:v>
      </x:c>
      <x:c r="C256" s="2" t="n">
        <x:v>60119</x:v>
      </x:c>
      <x:c r="D256" s="2" t="str">
        <x:v>C09</x:v>
      </x:c>
      <x:c r="E256" s="2" t="str">
        <x:v>F02</x:v>
      </x:c>
      <x:c r="F256" s="2" t="str">
        <x:v>F02</x:v>
      </x:c>
      <x:c r="G256" s="2" t="str">
        <x:v>F02</x:v>
      </x:c>
      <x:c r="H256" s="2" t="str">
        <x:v>Execution-flow and state correction</x:v>
      </x:c>
      <x:c r="I256" s="2" t="str">
        <x:v>Workaround only or existing behavior</x:v>
      </x:c>
      <x:c r="J256" s="2" t="str">
        <x:v>Recommended action: Recommended to maintain lifecycle tool when Kanban worker constructs the final tool set.</x:v>
      </x:c>
      <x:c r="K256" s="2" t="str">
        <x:v>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x:v>
      </x:c>
      <x:c r="L256" s="2" t="str">
        <x:v>One closest-fit strategy is selected as additionally requested.  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  The original evidence review is U1; this does not establish that a targeted repair has been verified.</x:v>
      </x:c>
      <x:c r="M256" s="2" t="str">
        <x:v>https://github.com/NousResearch/hermes-agent/issues/60119</x:v>
      </x:c>
      <x:c r="N256" s="2" t="str">
        <x:v>U1</x:v>
      </x:c>
      <x:c r="O256" s="2" t="str">
        <x:v>Closest fit to the intent described in the summary</x:v>
      </x:c>
    </x:row>
    <x:row r="257" ht="35" customHeight="1">
      <x:c r="A257" s="2" t="str">
        <x:v>R0227</x:v>
      </x:c>
      <x:c r="B257" s="2" t="str">
        <x:v>NousResearch/hermes-agent</x:v>
      </x:c>
      <x:c r="C257" s="2" t="n">
        <x:v>59769</x:v>
      </x:c>
      <x:c r="D257" s="2" t="str">
        <x:v>C12</x:v>
      </x:c>
      <x:c r="E257" s="2" t="str">
        <x:v>F03</x:v>
      </x:c>
      <x:c r="F257" s="2" t="str">
        <x:v>F03</x:v>
      </x:c>
      <x:c r="G257" s="2" t="str">
        <x:v>F03</x:v>
      </x:c>
      <x:c r="H257" s="2" t="str">
        <x:v>Validation and failure-path hardening</x:v>
      </x:c>
      <x:c r="I257" s="2" t="str">
        <x:v>Recorded as implemented in the source data</x:v>
      </x:c>
      <x:c r="J257" s="2" t="str">
        <x:v>Secure reading response text and using unusual error</x:v>
      </x:c>
      <x:c r="K257" s="2" t="str">
        <x:v>Preventing second ResponseNotRead cover-up failure of providers</x:v>
      </x:c>
      <x:c r="L257" s="2" t="str">
        <x:v>The two sets of labels agree and the original decision is retained; see the original annotations for the action and its association with the root cause.</x:v>
      </x:c>
      <x:c r="M257" s="2" t="str">
        <x:v>https://github.com/NousResearch/hermes-agent/issues/59769</x:v>
      </x:c>
      <x:c r="N257" s="2" t="str">
        <x:v>F03</x:v>
      </x:c>
      <x:c r="O257" s="2" t="str">
        <x:v>Determinate from available evidence</x:v>
      </x:c>
    </x:row>
    <x:row r="258" ht="35" customHeight="1">
      <x:c r="A258" s="2" t="str">
        <x:v>R0226</x:v>
      </x:c>
      <x:c r="B258" s="2" t="str">
        <x:v>NousResearch/hermes-agent</x:v>
      </x:c>
      <x:c r="C258" s="2" t="n">
        <x:v>59403</x:v>
      </x:c>
      <x:c r="D258" s="2" t="str">
        <x:v>C12</x:v>
      </x:c>
      <x:c r="E258" s="2" t="str">
        <x:v>F03</x:v>
      </x:c>
      <x:c r="F258" s="2" t="str">
        <x:v>F03</x:v>
      </x:c>
      <x:c r="G258" s="2" t="str">
        <x:v>F03</x:v>
      </x:c>
      <x:c r="H258" s="2" t="str">
        <x:v>Validation and failure-path hardening</x:v>
      </x:c>
      <x:c r="I258" s="2" t="str">
        <x:v>Recorded as implemented in the source data</x:v>
      </x:c>
      <x:c r="J258" s="2" t="str">
        <x:v>Cache to read compatible YAML voids</x:v>
      </x:c>
      <x:c r="K258" s="2" t="str">
        <x:v>The context_lengths's None null-value guards prevented the construction from collapsing</x:v>
      </x:c>
      <x:c r="L258" s="2" t="str">
        <x:v>The two sets of labels agree and the original decision is retained; see the original annotations for the action and its association with the root cause.</x:v>
      </x:c>
      <x:c r="M258" s="2" t="str">
        <x:v>https://github.com/NousResearch/hermes-agent/issues/59403</x:v>
      </x:c>
      <x:c r="N258" s="2" t="str">
        <x:v>F03</x:v>
      </x:c>
      <x:c r="O258" s="2" t="str">
        <x:v>Determinate from available evidence</x:v>
      </x:c>
    </x:row>
    <x:row r="259" ht="35" customHeight="1">
      <x:c r="A259" s="2" t="str">
        <x:v>R0225</x:v>
      </x:c>
      <x:c r="B259" s="2" t="str">
        <x:v>NousResearch/hermes-agent</x:v>
      </x:c>
      <x:c r="C259" s="2" t="n">
        <x:v>58168</x:v>
      </x:c>
      <x:c r="D259" s="2" t="str">
        <x:v>C05</x:v>
      </x:c>
      <x:c r="E259" s="2" t="str">
        <x:v>F01</x:v>
      </x:c>
      <x:c r="F259" s="2" t="str">
        <x:v>F01</x:v>
      </x:c>
      <x:c r="G259" s="2" t="str">
        <x:v>F01</x:v>
      </x:c>
      <x:c r="H259" s="2" t="str">
        <x:v>Representation and usage-contract alignment</x:v>
      </x:c>
      <x:c r="I259" s="2" t="str">
        <x:v>Recorded as implemented in the source data</x:v>
      </x:c>
      <x:c r="J259" s="2" t="str">
        <x:v>id and call_id simultaneously registered with the tool invocation</x:v>
      </x:c>
      <x:c r="K259" s="2" t="str">
        <x:v>Keeping Responses legitimate invocation results associated and unifying parameters cleaning priorities</x:v>
      </x:c>
      <x:c r="L259" s="2" t="str">
        <x:v>The two sets of labels agree and the original decision is retained; see the original annotations for the action and its association with the root cause.</x:v>
      </x:c>
      <x:c r="M259" s="2" t="str">
        <x:v>https://github.com/NousResearch/hermes-agent/issues/58168</x:v>
      </x:c>
      <x:c r="N259" s="2" t="str">
        <x:v>F01</x:v>
      </x:c>
      <x:c r="O259" s="2" t="str">
        <x:v>Determinate from available evidence</x:v>
      </x:c>
    </x:row>
    <x:row r="260" ht="35" customHeight="1">
      <x:c r="A260" s="2" t="str">
        <x:v>R0224</x:v>
      </x:c>
      <x:c r="B260" s="2" t="str">
        <x:v>NousResearch/hermes-agent</x:v>
      </x:c>
      <x:c r="C260" s="2" t="n">
        <x:v>57986</x:v>
      </x:c>
      <x:c r="D260" s="2" t="str">
        <x:v>C12</x:v>
      </x:c>
      <x:c r="E260" s="2" t="str">
        <x:v>F03</x:v>
      </x:c>
      <x:c r="F260" s="2" t="str">
        <x:v>F03</x:v>
      </x:c>
      <x:c r="G260" s="2" t="str">
        <x:v>F03</x:v>
      </x:c>
      <x:c r="H260" s="2" t="str">
        <x:v>Validation and failure-path hardening</x:v>
      </x:c>
      <x:c r="I260" s="2" t="str">
        <x:v>Recorded as implemented in the source data</x:v>
      </x:c>
      <x:c r="J260" s="2" t="str">
        <x:v>Embedded Skill metadata adds dictionary type guards</x:v>
      </x:c>
      <x:c r="K260" s="2" t="str">
        <x:v>Abnormal frontmatter is no longer chain-driven. get causes learning graphs to crash</x:v>
      </x:c>
      <x:c r="L260" s="2" t="str">
        <x:v>The two sets of labels agree and the original decision is retained; see the original annotations for the action and its association with the root cause.</x:v>
      </x:c>
      <x:c r="M260" s="2" t="str">
        <x:v>https://github.com/NousResearch/hermes-agent/issues/57986</x:v>
      </x:c>
      <x:c r="N260" s="2" t="str">
        <x:v>F03</x:v>
      </x:c>
      <x:c r="O260" s="2" t="str">
        <x:v>Determinate from available evidence</x:v>
      </x:c>
    </x:row>
    <x:row r="261" ht="48.5" customHeight="1">
      <x:c r="A261" s="2" t="str">
        <x:v>R0219</x:v>
      </x:c>
      <x:c r="B261" s="2" t="str">
        <x:v>NousResearch/hermes-agent</x:v>
      </x:c>
      <x:c r="C261" s="2" t="n">
        <x:v>53359</x:v>
      </x:c>
      <x:c r="D261" s="2" t="str">
        <x:v>C20</x:v>
      </x:c>
      <x:c r="E261" s="2" t="str">
        <x:v>U1</x:v>
      </x:c>
      <x:c r="F261" s="2" t="str">
        <x:v>U1</x:v>
      </x:c>
      <x:c r="G261" s="2" t="str">
        <x:v>F01</x:v>
      </x:c>
      <x:c r="H261" s="2" t="str">
        <x:v>Representation and usage-contract alignment</x:v>
      </x:c>
      <x:c r="I261" s="2" t="str">
        <x:v>Workaround only or existing behavior</x:v>
      </x:c>
      <x:c r="J261" s="2" t="str">
        <x:v>Suggested action (presumption): Recommendation to clarify and calibrate the service end num_ctx and Hermes context Reciprocal Settings for Length.</x:v>
      </x:c>
      <x:c r="K261" s="2" t="str">
        <x:v>The abstract explicitly gives three context configuration matching guidelines, the closest to configuration using conventionally aligned; not exclusive capacity automatic detection repair. This is an additional closest-fit assignment, not an established repair fact.</x:v>
      </x:c>
      <x:c r="L261" s="2" t="str">
        <x:v>One closest-fit strategy is selected as additionally requested.  The abstract explicitly gives three context configuration matching guidelines, the closest to configuration using conventionally aligned; not exclusive capacity automatic detection repair. This is an additional closest-fit assignment, not an established repair fact.  The original evidence review is U1; this does not establish that a targeted repair has been verified.</x:v>
      </x:c>
      <x:c r="M261" s="2" t="str">
        <x:v>https://github.com/NousResearch/hermes-agent/issues/53359</x:v>
      </x:c>
      <x:c r="N261" s="2" t="str">
        <x:v>U1</x:v>
      </x:c>
      <x:c r="O261" s="2" t="str">
        <x:v>Closest fit to the intent described in the summary</x:v>
      </x:c>
    </x:row>
    <x:row r="262" ht="35" customHeight="1">
      <x:c r="A262" s="2" t="str">
        <x:v>R0217</x:v>
      </x:c>
      <x:c r="B262" s="2" t="str">
        <x:v>NousResearch/hermes-agent</x:v>
      </x:c>
      <x:c r="C262" s="2" t="n">
        <x:v>51767</x:v>
      </x:c>
      <x:c r="D262" s="2" t="str">
        <x:v>C06</x:v>
      </x:c>
      <x:c r="E262" s="2" t="str">
        <x:v>F02</x:v>
      </x:c>
      <x:c r="F262" s="2" t="str">
        <x:v>F02</x:v>
      </x:c>
      <x:c r="G262" s="2" t="str">
        <x:v>F02</x:v>
      </x:c>
      <x:c r="H262" s="2" t="str">
        <x:v>Execution-flow and state correction</x:v>
      </x:c>
      <x:c r="I262" s="2" t="str">
        <x:v>Recorded as implemented in the source data</x:v>
      </x:c>
      <x:c r="J262" s="2" t="str">
        <x:v>Restore to current profile storage resolution scheduled task</x:v>
      </x:c>
      <x:c r="K262" s="2" t="str">
        <x:v>Unified mission status and execution environment scope to avoid cross-profile execution</x:v>
      </x:c>
      <x:c r="L262" s="2" t="str">
        <x:v>The two sets of labels agree and the original decision is retained; see the original annotations for the action and its association with the root cause.</x:v>
      </x:c>
      <x:c r="M262" s="2" t="str">
        <x:v>https://github.com/NousResearch/hermes-agent/issues/51767</x:v>
      </x:c>
      <x:c r="N262" s="2" t="str">
        <x:v>F02</x:v>
      </x:c>
      <x:c r="O262" s="2" t="str">
        <x:v>Determinate from available evidence</x:v>
      </x:c>
    </x:row>
    <x:row r="263" ht="35" customHeight="1">
      <x:c r="A263" s="2" t="str">
        <x:v>R0215</x:v>
      </x:c>
      <x:c r="B263" s="2" t="str">
        <x:v>NousResearch/hermes-agent</x:v>
      </x:c>
      <x:c r="C263" s="2" t="n">
        <x:v>50245</x:v>
      </x:c>
      <x:c r="D263" s="2" t="str">
        <x:v>C15</x:v>
      </x:c>
      <x:c r="E263" s="2" t="str">
        <x:v>F03</x:v>
      </x:c>
      <x:c r="F263" s="2" t="str">
        <x:v>F03</x:v>
      </x:c>
      <x:c r="G263" s="2" t="str">
        <x:v>F03</x:v>
      </x:c>
      <x:c r="H263" s="2" t="str">
        <x:v>Validation and failure-path hardening</x:v>
      </x:c>
      <x:c r="I263" s="2" t="str">
        <x:v>Recorded as implemented in the source data</x:v>
      </x:c>
      <x:c r="J263" s="2" t="str">
        <x:v>Configure the output to be de-sensitive by credential key</x:v>
      </x:c>
      <x:c r="K263" s="2" t="str">
        <x:v>show/set exports no longer bypass already protected secrecy</x:v>
      </x:c>
      <x:c r="L263" s="2" t="str">
        <x:v>The two sets of labels agree and the original decision is retained; see the original annotations for the action and its association with the root cause.</x:v>
      </x:c>
      <x:c r="M263" s="2" t="str">
        <x:v>https://github.com/NousResearch/hermes-agent/issues/50245</x:v>
      </x:c>
      <x:c r="N263" s="2" t="str">
        <x:v>F03</x:v>
      </x:c>
      <x:c r="O263" s="2" t="str">
        <x:v>Determinate from available evidence</x:v>
      </x:c>
    </x:row>
    <x:row r="264" ht="35" customHeight="1">
      <x:c r="A264" s="2" t="str">
        <x:v>R0213</x:v>
      </x:c>
      <x:c r="B264" s="2" t="str">
        <x:v>NousResearch/hermes-agent</x:v>
      </x:c>
      <x:c r="C264" s="2" t="n">
        <x:v>47647</x:v>
      </x:c>
      <x:c r="D264" s="2" t="str">
        <x:v>C05</x:v>
      </x:c>
      <x:c r="E264" s="2" t="str">
        <x:v>F01</x:v>
      </x:c>
      <x:c r="F264" s="2" t="str">
        <x:v>F01</x:v>
      </x:c>
      <x:c r="G264" s="2" t="str">
        <x:v>F01</x:v>
      </x:c>
      <x:c r="H264" s="2" t="str">
        <x:v>Representation and usage-contract alignment</x:v>
      </x:c>
      <x:c r="I264" s="2" t="str">
        <x:v>Recorded as implemented in the source data</x:v>
      </x:c>
      <x:c r="J264" s="2" t="str">
        <x:v>Archival restoration only matches the exact name or legal time of the title</x:v>
      </x:c>
      <x:c r="K264" s="2" t="str">
        <x:v>Correction of normal word recognition to avoid git mismatching git-helpers</x:v>
      </x:c>
      <x:c r="L264" s="2" t="str">
        <x:v>The two sets of labels agree and the original decision is retained; see the original annotations for the action and its association with the root cause.</x:v>
      </x:c>
      <x:c r="M264" s="2" t="str">
        <x:v>https://github.com/NousResearch/hermes-agent/issues/47647</x:v>
      </x:c>
      <x:c r="N264" s="2" t="str">
        <x:v>F01</x:v>
      </x:c>
      <x:c r="O264" s="2" t="str">
        <x:v>Determinate from available evidence</x:v>
      </x:c>
    </x:row>
    <x:row r="265" ht="35" customHeight="1">
      <x:c r="A265" s="2" t="str">
        <x:v>R0211</x:v>
      </x:c>
      <x:c r="B265" s="2" t="str">
        <x:v>NousResearch/hermes-agent</x:v>
      </x:c>
      <x:c r="C265" s="2" t="n">
        <x:v>44711</x:v>
      </x:c>
      <x:c r="D265" s="2" t="str">
        <x:v>C13</x:v>
      </x:c>
      <x:c r="E265" s="2" t="str">
        <x:v>F02</x:v>
      </x:c>
      <x:c r="F265" s="2" t="str">
        <x:v>F02</x:v>
      </x:c>
      <x:c r="G265" s="2" t="str">
        <x:v>F02</x:v>
      </x:c>
      <x:c r="H265" s="2" t="str">
        <x:v>Execution-flow and state correction</x:v>
      </x:c>
      <x:c r="I265" s="2" t="str">
        <x:v>Recorded as implemented in the source data</x:v>
      </x:c>
      <x:c r="J265" s="2" t="str">
        <x:v>After identifying the silent mark, only suppress the exit message</x:v>
      </x:c>
      <x:c r="K265" s="2" t="str">
        <x:v>Silent exports in the delivery process while maintaining a history of cycles</x:v>
      </x:c>
      <x:c r="L265" s="2" t="str">
        <x:v>The two sets of labels agree and the original decision is retained; see the original annotations for the action and its association with the root cause.</x:v>
      </x:c>
      <x:c r="M265" s="2" t="str">
        <x:v>https://github.com/NousResearch/hermes-agent/issues/44711</x:v>
      </x:c>
      <x:c r="N265" s="2" t="str">
        <x:v>F02</x:v>
      </x:c>
      <x:c r="O265" s="2" t="str">
        <x:v>Determinate from available evidence</x:v>
      </x:c>
    </x:row>
    <x:row r="266" ht="48.5" customHeight="1">
      <x:c r="A266" s="2" t="str">
        <x:v>R0210</x:v>
      </x:c>
      <x:c r="B266" s="2" t="str">
        <x:v>NousResearch/hermes-agent</x:v>
      </x:c>
      <x:c r="C266" s="2" t="n">
        <x:v>44394</x:v>
      </x:c>
      <x:c r="D266" s="2" t="str">
        <x:v>C08</x:v>
      </x:c>
      <x:c r="E266" s="2" t="str">
        <x:v>U1</x:v>
      </x:c>
      <x:c r="F266" s="2" t="str">
        <x:v>U1</x:v>
      </x:c>
      <x:c r="G266" s="2" t="str">
        <x:v>F03</x:v>
      </x:c>
      <x:c r="H266" s="2" t="str">
        <x:v>Validation and failure-path hardening</x:v>
      </x:c>
      <x:c r="I266" s="2" t="str">
        <x:v>Workaround only or existing behavior</x:v>
      </x:c>
      <x:c r="J266" s="2" t="str">
        <x:v>Recommended action: Recommended pre-release calibration to repair tool invocation matching results, positioning still missing branches.</x:v>
      </x:c>
      <x:c r="K266" s="2" t="str">
        <x:v>A shared summary has been clearly requested for cleansing and tool guardrails The closest to bad history to pre-provider protection; the real damage branch is still unknown.  This is an additional closest-fit assignment, not an established repair fact.</x:v>
      </x:c>
      <x:c r="L266" s="2" t="str">
        <x:v>One closest-fit strategy is selected as additionally requested.  A shared summary has been clearly requested for cleansing and tool guardrails The closest to bad history to pre-provider protection; the real damage branch is still unknown.  This is an additional closest-fit assignment, not an established repair fact.  The original evidence review is U1; this does not establish that a targeted repair has been verified.</x:v>
      </x:c>
      <x:c r="M266" s="2" t="str">
        <x:v>https://github.com/NousResearch/hermes-agent/issues/44394</x:v>
      </x:c>
      <x:c r="N266" s="2" t="str">
        <x:v>U1</x:v>
      </x:c>
      <x:c r="O266" s="2" t="str">
        <x:v>Closest fit to the intent described in the summary</x:v>
      </x:c>
    </x:row>
    <x:row r="267" ht="35" customHeight="1">
      <x:c r="A267" s="2" t="str">
        <x:v>R0204</x:v>
      </x:c>
      <x:c r="B267" s="2" t="str">
        <x:v>NousResearch/hermes-agent</x:v>
      </x:c>
      <x:c r="C267" s="2" t="n">
        <x:v>38459</x:v>
      </x:c>
      <x:c r="D267" s="2" t="str">
        <x:v>C11</x:v>
      </x:c>
      <x:c r="E267" s="2" t="str">
        <x:v>F02</x:v>
      </x:c>
      <x:c r="F267" s="2" t="str">
        <x:v>F02</x:v>
      </x:c>
      <x:c r="G267" s="2" t="str">
        <x:v>F02</x:v>
      </x:c>
      <x:c r="H267" s="2" t="str">
        <x:v>Execution-flow and state correction</x:v>
      </x:c>
      <x:c r="I267" s="2" t="str">
        <x:v>Recorded as implemented in the source data</x:v>
      </x:c>
      <x:c r="J267" s="2" t="str">
        <x:v>Non-blocking thread pool closure and limiting total directory budget</x:v>
      </x:c>
      <x:c r="K267" s="2" t="str">
        <x:v>timeout actually returns, only caching the full throughput results, avoiding slow worker and incomplete caching</x:v>
      </x:c>
      <x:c r="L267" s="2" t="str">
        <x:v>The two sets of labels agree and the original decision is retained; see the original annotations for the action and its association with the root cause.</x:v>
      </x:c>
      <x:c r="M267" s="2" t="str">
        <x:v>https://github.com/NousResearch/hermes-agent/issues/38459</x:v>
      </x:c>
      <x:c r="N267" s="2" t="str">
        <x:v>F02</x:v>
      </x:c>
      <x:c r="O267" s="2" t="str">
        <x:v>Determinate from available evidence</x:v>
      </x:c>
    </x:row>
    <x:row r="268" ht="35" customHeight="1">
      <x:c r="A268" s="2" t="str">
        <x:v>R0202</x:v>
      </x:c>
      <x:c r="B268" s="2" t="str">
        <x:v>NousResearch/hermes-agent</x:v>
      </x:c>
      <x:c r="C268" s="2" t="n">
        <x:v>36012</x:v>
      </x:c>
      <x:c r="D268" s="2" t="str">
        <x:v>C23</x:v>
      </x:c>
      <x:c r="E268" s="2" t="str">
        <x:v>F01</x:v>
      </x:c>
      <x:c r="F268" s="2" t="str">
        <x:v>F01</x:v>
      </x:c>
      <x:c r="G268" s="2" t="str">
        <x:v>F01</x:v>
      </x:c>
      <x:c r="H268" s="2" t="str">
        <x:v>Representation and usage-contract alignment</x:v>
      </x:c>
      <x:c r="I268" s="2" t="str">
        <x:v>Candidate change not merged</x:v>
      </x:c>
      <x:c r="J268" s="2" t="str">
        <x:v>Skill Example is clear terminal invocation Parallel Reverse Mode</x:v>
      </x:c>
      <x:c r="K268" s="2" t="str">
        <x:v>Modified model misrepresents CLI commands as instructions for API use</x:v>
      </x:c>
      <x:c r="L268" s="2" t="str">
        <x:v>The two sets of labels agree and the original decision is retained; see the original annotations for the action and its association with the root cause.</x:v>
      </x:c>
      <x:c r="M268" s="2" t="str">
        <x:v>https://github.com/NousResearch/hermes-agent/issues/36012</x:v>
      </x:c>
      <x:c r="N268" s="2" t="str">
        <x:v>F01</x:v>
      </x:c>
      <x:c r="O268" s="2" t="str">
        <x:v>Determinate from available evidence</x:v>
      </x:c>
    </x:row>
    <x:row r="269" ht="35" customHeight="1">
      <x:c r="A269" s="2" t="str">
        <x:v>R0201</x:v>
      </x:c>
      <x:c r="B269" s="2" t="str">
        <x:v>NousResearch/hermes-agent</x:v>
      </x:c>
      <x:c r="C269" s="2" t="n">
        <x:v>35736</x:v>
      </x:c>
      <x:c r="D269" s="2" t="str">
        <x:v>C03</x:v>
      </x:c>
      <x:c r="E269" s="2" t="str">
        <x:v>F01</x:v>
      </x:c>
      <x:c r="F269" s="2" t="str">
        <x:v>F01</x:v>
      </x:c>
      <x:c r="G269" s="2" t="str">
        <x:v>F01</x:v>
      </x:c>
      <x:c r="H269" s="2" t="str">
        <x:v>Representation and usage-contract alignment</x:v>
      </x:c>
      <x:c r="I269" s="2" t="str">
        <x:v>Candidate change not merged</x:v>
      </x:c>
      <x:c r="J269" s="2" t="str">
        <x:v>Skill writes content-compatible and file_content names</x:v>
      </x:c>
      <x:c r="K269" s="2" t="str">
        <x:v>The difference in assembly of a single action field allows for legitimate invocation content to reach read branches.</x:v>
      </x:c>
      <x:c r="L269" s="2" t="str">
        <x:v>The two sets of labels agree and the original decision is retained; see the original annotations for the action and its association with the root cause.</x:v>
      </x:c>
      <x:c r="M269" s="2" t="str">
        <x:v>https://github.com/NousResearch/hermes-agent/issues/35736</x:v>
      </x:c>
      <x:c r="N269" s="2" t="str">
        <x:v>F01</x:v>
      </x:c>
      <x:c r="O269" s="2" t="str">
        <x:v>Determinate from available evidence</x:v>
      </x:c>
    </x:row>
    <x:row r="270" ht="35" customHeight="1">
      <x:c r="A270" s="2" t="str">
        <x:v>R0200</x:v>
      </x:c>
      <x:c r="B270" s="2" t="str">
        <x:v>NousResearch/hermes-agent</x:v>
      </x:c>
      <x:c r="C270" s="2" t="n">
        <x:v>35406</x:v>
      </x:c>
      <x:c r="D270" s="2" t="str">
        <x:v>C21</x:v>
      </x:c>
      <x:c r="E270" s="2" t="str">
        <x:v>F04</x:v>
      </x:c>
      <x:c r="F270" s="2" t="str">
        <x:v>F04</x:v>
      </x:c>
      <x:c r="G270" s="2" t="str">
        <x:v>F04</x:v>
      </x:c>
      <x:c r="H270" s="2" t="str">
        <x:v>Environment and distribution adaptation</x:v>
      </x:c>
      <x:c r="I270" s="2" t="str">
        <x:v>Recorded as implemented in the source data</x:v>
      </x:c>
      <x:c r="J270" s="2" t="str">
        <x:v>Container starts to execute configuration migration backups and checks the original version</x:v>
      </x:c>
      <x:c r="K270" s="2" t="str">
        <x:v>After delivery updates, the gateway migrated the old configuration to last.</x:v>
      </x:c>
      <x:c r="L270" s="2" t="str">
        <x:v>The two sets of labels agree and the original decision is retained; see the original annotations for the action and its association with the root cause.</x:v>
      </x:c>
      <x:c r="M270" s="2" t="str">
        <x:v>https://github.com/NousResearch/hermes-agent/issues/35406</x:v>
      </x:c>
      <x:c r="N270" s="2" t="str">
        <x:v>F04</x:v>
      </x:c>
      <x:c r="O270" s="2" t="str">
        <x:v>Determinate from available evidence</x:v>
      </x:c>
    </x:row>
    <x:row r="271" ht="35" customHeight="1">
      <x:c r="A271" s="2" t="str">
        <x:v>R0199</x:v>
      </x:c>
      <x:c r="B271" s="2" t="str">
        <x:v>NousResearch/hermes-agent</x:v>
      </x:c>
      <x:c r="C271" s="2" t="n">
        <x:v>34806</x:v>
      </x:c>
      <x:c r="D271" s="2" t="str">
        <x:v>C01</x:v>
      </x:c>
      <x:c r="E271" s="2" t="str">
        <x:v>F01</x:v>
      </x:c>
      <x:c r="F271" s="2" t="str">
        <x:v>F01</x:v>
      </x:c>
      <x:c r="G271" s="2" t="str">
        <x:v>F01</x:v>
      </x:c>
      <x:c r="H271" s="2" t="str">
        <x:v>Representation and usage-contract alignment</x:v>
      </x:c>
      <x:c r="I271" s="2" t="str">
        <x:v>Recorded as implemented in the source data</x:v>
      </x:c>
      <x:c r="J271" s="2" t="str">
        <x:v>MIME first query unified type and specify output size type</x:v>
      </x:c>
      <x:c r="K271" s="2" t="str">
        <x:v>Make sure that non-sensitive protocols are not compromised by Python dictionary size.</x:v>
      </x:c>
      <x:c r="L271" s="2" t="str">
        <x:v>The two sets of labels agree and the original decision is retained; see the original annotations for the action and its association with the root cause.</x:v>
      </x:c>
      <x:c r="M271" s="2" t="str">
        <x:v>https://github.com/NousResearch/hermes-agent/issues/34806</x:v>
      </x:c>
      <x:c r="N271" s="2" t="str">
        <x:v>F01</x:v>
      </x:c>
      <x:c r="O271" s="2" t="str">
        <x:v>Determinate from available evidence</x:v>
      </x:c>
    </x:row>
    <x:row r="272" ht="48.5" customHeight="1">
      <x:c r="A272" s="2" t="str">
        <x:v>R0198</x:v>
      </x:c>
      <x:c r="B272" s="2" t="str">
        <x:v>NousResearch/hermes-agent</x:v>
      </x:c>
      <x:c r="C272" s="2" t="n">
        <x:v>34689</x:v>
      </x:c>
      <x:c r="D272" s="2" t="str">
        <x:v>C17</x:v>
      </x:c>
      <x:c r="E272" s="2" t="str">
        <x:v>U1</x:v>
      </x:c>
      <x:c r="F272" s="2" t="str">
        <x:v>U1</x:v>
      </x:c>
      <x:c r="G272" s="2" t="str">
        <x:v>F04</x:v>
      </x:c>
      <x:c r="H272" s="2" t="str">
        <x:v>Environment and distribution adaptation</x:v>
      </x:c>
      <x:c r="I272" s="2" t="str">
        <x:v>Insufficient association evidence</x:v>
      </x:c>
      <x:c r="J272" s="2" t="str">
        <x:v>Recommended action: verify the actual path of running checkout, database and board, and eliminate old deployment or residual state interference</x:v>
      </x:c>
      <x:c r="K272" s="2" t="str">
        <x:v>Maintainer denied WAL Visibility root cause The best evidence at the moment is old checkout or error database/ board Paths, so deployment operational prerequisites are more consistent with fixed C17.  Closest-fit inference only.</x:v>
      </x:c>
      <x:c r="L272" s="2" t="str">
        <x:v>One closest-fit strategy is selected as additionally requested.  Maintainer denied WAL Visibility root cause The best evidence at the moment is old checkout or error database/ board Paths, so deployment operational prerequisites are more consistent with fixed C17.  Closest-fit inference only.  The original evidence review is U1; this does not establish that a targeted repair has been verified.</x:v>
      </x:c>
      <x:c r="M272" s="2" t="str">
        <x:v>https://github.com/NousResearch/hermes-agent/issues/34689</x:v>
      </x:c>
      <x:c r="N272" s="2" t="str">
        <x:v>U1</x:v>
      </x:c>
      <x:c r="O272" s="2" t="str">
        <x:v>Inferred from the primary root cause</x:v>
      </x:c>
    </x:row>
    <x:row r="273" ht="35" customHeight="1">
      <x:c r="A273" s="2" t="str">
        <x:v>R0197</x:v>
      </x:c>
      <x:c r="B273" s="2" t="str">
        <x:v>NousResearch/hermes-agent</x:v>
      </x:c>
      <x:c r="C273" s="2" t="n">
        <x:v>33925</x:v>
      </x:c>
      <x:c r="D273" s="2" t="str">
        <x:v>C07</x:v>
      </x:c>
      <x:c r="E273" s="2" t="str">
        <x:v>F02</x:v>
      </x:c>
      <x:c r="F273" s="2" t="str">
        <x:v>F02</x:v>
      </x:c>
      <x:c r="G273" s="2" t="str">
        <x:v>F02</x:v>
      </x:c>
      <x:c r="H273" s="2" t="str">
        <x:v>Execution-flow and state correction</x:v>
      </x:c>
      <x:c r="I273" s="2" t="str">
        <x:v>Recorded as implemented in the source data</x:v>
      </x:c>
      <x:c r="J273" s="2" t="str">
        <x:v>Switch session level bypass and bind the session key to release</x:v>
      </x:c>
      <x:c r="K273" s="2" t="str">
        <x:v>Modify the actual scope of authorization status and status bar to avoid merely freezing environment variable</x:v>
      </x:c>
      <x:c r="L273" s="2" t="str">
        <x:v>The two sets of labels agree and the original decision is retained; see the original annotations for the action and its association with the root cause.</x:v>
      </x:c>
      <x:c r="M273" s="2" t="str">
        <x:v>https://github.com/NousResearch/hermes-agent/issues/33925</x:v>
      </x:c>
      <x:c r="N273" s="2" t="str">
        <x:v>F02</x:v>
      </x:c>
      <x:c r="O273" s="2" t="str">
        <x:v>Determinate from available evidence</x:v>
      </x:c>
    </x:row>
    <x:row r="274" ht="35" customHeight="1">
      <x:c r="A274" s="2" t="str">
        <x:v>R0196</x:v>
      </x:c>
      <x:c r="B274" s="2" t="str">
        <x:v>NousResearch/hermes-agent</x:v>
      </x:c>
      <x:c r="C274" s="2" t="n">
        <x:v>33525</x:v>
      </x:c>
      <x:c r="D274" s="2" t="str">
        <x:v>C17</x:v>
      </x:c>
      <x:c r="E274" s="2" t="str">
        <x:v>F03</x:v>
      </x:c>
      <x:c r="F274" s="2" t="str">
        <x:v>F03</x:v>
      </x:c>
      <x:c r="G274" s="2" t="str">
        <x:v>F03</x:v>
      </x:c>
      <x:c r="H274" s="2" t="str">
        <x:v>Validation and failure-path hardening</x:v>
      </x:c>
      <x:c r="I274" s="2" t="str">
        <x:v>Partial coverage</x:v>
      </x:c>
      <x:c r="J274" s="2" t="str">
        <x:v>The permission error in capturing the credentials and deeming them non-existent</x:v>
      </x:c>
      <x:c r="K274" s="2" t="str">
        <x:v>Limited HOME no longer causes tool's demand assessment to collapse overall</x:v>
      </x:c>
      <x:c r="L274" s="2" t="str">
        <x:v>The two sets of labels agree and the original decision is retained; see the original annotations for the action and its association with the root cause.</x:v>
      </x:c>
      <x:c r="M274" s="2" t="str">
        <x:v>https://github.com/NousResearch/hermes-agent/issues/33525</x:v>
      </x:c>
      <x:c r="N274" s="2" t="str">
        <x:v>F03</x:v>
      </x:c>
      <x:c r="O274" s="2" t="str">
        <x:v>Determinate from available evidence</x:v>
      </x:c>
    </x:row>
    <x:row r="275" ht="35" customHeight="1">
      <x:c r="A275" s="2" t="str">
        <x:v>R0195</x:v>
      </x:c>
      <x:c r="B275" s="2" t="str">
        <x:v>NousResearch/hermes-agent</x:v>
      </x:c>
      <x:c r="C275" s="2" t="n">
        <x:v>33299</x:v>
      </x:c>
      <x:c r="D275" s="2" t="str">
        <x:v>C18</x:v>
      </x:c>
      <x:c r="E275" s="2" t="str">
        <x:v>F02</x:v>
      </x:c>
      <x:c r="F275" s="2" t="str">
        <x:v>F02</x:v>
      </x:c>
      <x:c r="G275" s="2" t="str">
        <x:v>F02</x:v>
      </x:c>
      <x:c r="H275" s="2" t="str">
        <x:v>Execution-flow and state correction</x:v>
      </x:c>
      <x:c r="I275" s="2" t="str">
        <x:v>Recorded as implemented in the source data</x:v>
      </x:c>
      <x:c r="J275" s="2" t="str">
        <x:v>The LSP and TUI subprocesses explicitly separate the stdin</x:v>
      </x:c>
      <x:c r="K275" s="2" t="str">
        <x:v>Avoiding EOF competition for sharing JSON-RPC input pipelines</x:v>
      </x:c>
      <x:c r="L275" s="2" t="str">
        <x:v>The two sets of labels agree and the original decision is retained; see the original annotations for the action and its association with the root cause.</x:v>
      </x:c>
      <x:c r="M275" s="2" t="str">
        <x:v>https://github.com/NousResearch/hermes-agent/issues/33299</x:v>
      </x:c>
      <x:c r="N275" s="2" t="str">
        <x:v>F02</x:v>
      </x:c>
      <x:c r="O275" s="2" t="str">
        <x:v>Determinate from available evidence</x:v>
      </x:c>
    </x:row>
    <x:row r="276" ht="35" customHeight="1">
      <x:c r="A276" s="2" t="str">
        <x:v>R0194</x:v>
      </x:c>
      <x:c r="B276" s="2" t="str">
        <x:v>NousResearch/hermes-agent</x:v>
      </x:c>
      <x:c r="C276" s="2" t="n">
        <x:v>32899</x:v>
      </x:c>
      <x:c r="D276" s="2" t="str">
        <x:v>C16</x:v>
      </x:c>
      <x:c r="E276" s="2" t="str">
        <x:v>F01</x:v>
      </x:c>
      <x:c r="F276" s="2" t="str">
        <x:v>F01</x:v>
      </x:c>
      <x:c r="G276" s="2" t="str">
        <x:v>F01</x:v>
      </x:c>
      <x:c r="H276" s="2" t="str">
        <x:v>Representation and usage-contract alignment</x:v>
      </x:c>
      <x:c r="I276" s="2" t="str">
        <x:v>Candidate change not merged</x:v>
      </x:c>
      <x:c r="J276" s="2" t="str">
        <x:v>Added subscription-based coverage of tool sets</x:v>
      </x:c>
      <x:c r="K276" s="2" t="str">
        <x:v>Candidates transfer toolset routing from CLI and event to authorization assembly at the gateway</x:v>
      </x:c>
      <x:c r="L276" s="2" t="str">
        <x:v>The two sets of labels agree and the original decision is retained; see the original annotations for the action and its association with the root cause.</x:v>
      </x:c>
      <x:c r="M276" s="2" t="str">
        <x:v>https://github.com/NousResearch/hermes-agent/issues/32899</x:v>
      </x:c>
      <x:c r="N276" s="2" t="str">
        <x:v>F01</x:v>
      </x:c>
      <x:c r="O276" s="2" t="str">
        <x:v>Determinate from available evidence</x:v>
      </x:c>
    </x:row>
    <x:row r="277" ht="35" customHeight="1">
      <x:c r="A277" s="2" t="str">
        <x:v>R0154</x:v>
      </x:c>
      <x:c r="B277" s="2" t="str">
        <x:v>NousResearch/hermes-agent</x:v>
      </x:c>
      <x:c r="C277" s="2" t="n">
        <x:v>9712</x:v>
      </x:c>
      <x:c r="D277" s="2" t="str">
        <x:v>C16</x:v>
      </x:c>
      <x:c r="E277" s="2" t="str">
        <x:v>F01</x:v>
      </x:c>
      <x:c r="F277" s="2" t="str">
        <x:v>F01</x:v>
      </x:c>
      <x:c r="G277" s="2" t="str">
        <x:v>F01</x:v>
      </x:c>
      <x:c r="H277" s="2" t="str">
        <x:v>Representation and usage-contract alignment</x:v>
      </x:c>
      <x:c r="I277" s="2" t="str">
        <x:v>Recorded as implemented in the source data</x:v>
      </x:c>
      <x:c r="J277" s="2" t="str">
        <x:v>Obvious ACP covers mandatory supporting provider and API modes</x:v>
      </x:c>
      <x:c r="K277" s="2" t="str">
        <x:v>Prioritize explicit transmission parameters over parent inheritance</x:v>
      </x:c>
      <x:c r="L277" s="2" t="str">
        <x:v>The two sets of labels agree and the original decision is retained; see the original annotations for the action and its association with the root cause.</x:v>
      </x:c>
      <x:c r="M277" s="2" t="str">
        <x:v>https://github.com/NousResearch/hermes-agent/issues/9712</x:v>
      </x:c>
      <x:c r="N277" s="2" t="str">
        <x:v>F01</x:v>
      </x:c>
      <x:c r="O277" s="2" t="str">
        <x:v>Determinate from available evidence</x:v>
      </x:c>
    </x:row>
    <x:row r="278" ht="35" customHeight="1">
      <x:c r="A278" s="2" t="str">
        <x:v>R0177</x:v>
      </x:c>
      <x:c r="B278" s="2" t="str">
        <x:v>NousResearch/hermes-agent</x:v>
      </x:c>
      <x:c r="C278" s="2" t="n">
        <x:v>22563</x:v>
      </x:c>
      <x:c r="D278" s="2" t="str">
        <x:v>C08</x:v>
      </x:c>
      <x:c r="E278" s="2" t="str">
        <x:v>F01</x:v>
      </x:c>
      <x:c r="F278" s="2" t="str">
        <x:v>F01</x:v>
      </x:c>
      <x:c r="G278" s="2" t="str">
        <x:v>F01</x:v>
      </x:c>
      <x:c r="H278" s="2" t="str">
        <x:v>Representation and usage-contract alignment</x:v>
      </x:c>
      <x:c r="I278" s="2" t="str">
        <x:v>Partial coverage</x:v>
      </x:c>
      <x:c r="J278" s="2" t="str">
        <x:v>Tightening memory into writing instructions excluding instant citations</x:v>
      </x:c>
      <x:c r="K278" s="2" t="str">
        <x:v>Reducing PR/issue/SHA writing to long-term memory by placing clear content constraints</x:v>
      </x:c>
      <x:c r="L278" s="2" t="str">
        <x:v>The two sets of labels agree and the original decision is retained; see the original annotations for the action and its association with the root cause.</x:v>
      </x:c>
      <x:c r="M278" s="2" t="str">
        <x:v>https://github.com/NousResearch/hermes-agent/issues/22563</x:v>
      </x:c>
      <x:c r="N278" s="2" t="str">
        <x:v>F01</x:v>
      </x:c>
      <x:c r="O278" s="2" t="str">
        <x:v>Determinate from available evidence</x:v>
      </x:c>
    </x:row>
    <x:row r="279" ht="24" customHeight="1">
      <x:c r="A279" s="2" t="str">
        <x:v>R0040</x:v>
      </x:c>
      <x:c r="B279" s="2" t="str">
        <x:v>openclaw/openclaw</x:v>
      </x:c>
      <x:c r="C279" s="2" t="n">
        <x:v>46894</x:v>
      </x:c>
      <x:c r="D279" s="2" t="str">
        <x:v>C10</x:v>
      </x:c>
      <x:c r="E279" s="2" t="str">
        <x:v>F02</x:v>
      </x:c>
      <x:c r="F279" s="2" t="str">
        <x:v>F02</x:v>
      </x:c>
      <x:c r="G279" s="2" t="str">
        <x:v>F02</x:v>
      </x:c>
      <x:c r="H279" s="2" t="str">
        <x:v>Execution-flow and state correction</x:v>
      </x:c>
      <x:c r="I279" s="2" t="str">
        <x:v>Recorded as implemented in the source data</x:v>
      </x:c>
      <x:c r="J279" s="2" t="str">
        <x:v>Model query subcommands to specify service end routing</x:v>
      </x:c>
      <x:c r="K279" s="2" t="str">
        <x:v>status/list is no longer used as a model value to write sessions.patch</x:v>
      </x:c>
      <x:c r="L279" s="2" t="str">
        <x:v>The two sets of labels agree and the original decision is retained; see the original annotations for the action and its association with the root cause.</x:v>
      </x:c>
      <x:c r="M279" s="2" t="str">
        <x:v>https://github.com/openclaw/openclaw/issues/46894</x:v>
      </x:c>
      <x:c r="N279" s="2" t="str">
        <x:v>F02</x:v>
      </x:c>
      <x:c r="O279" s="2" t="str">
        <x:v>Determinate from available evidence</x:v>
      </x:c>
    </x:row>
    <x:row r="280" ht="24" customHeight="1">
      <x:c r="A280" s="2" t="str">
        <x:v>R0056</x:v>
      </x:c>
      <x:c r="B280" s="2" t="str">
        <x:v>openclaw/openclaw</x:v>
      </x:c>
      <x:c r="C280" s="2" t="n">
        <x:v>56699</x:v>
      </x:c>
      <x:c r="D280" s="2" t="str">
        <x:v>C15</x:v>
      </x:c>
      <x:c r="E280" s="2" t="str">
        <x:v>F03</x:v>
      </x:c>
      <x:c r="F280" s="2" t="str">
        <x:v>F03</x:v>
      </x:c>
      <x:c r="G280" s="2" t="str">
        <x:v>F03</x:v>
      </x:c>
      <x:c r="H280" s="2" t="str">
        <x:v>Validation and failure-path hardening</x:v>
      </x:c>
      <x:c r="I280" s="2" t="str">
        <x:v>Recorded as implemented in the source data</x:v>
      </x:c>
      <x:c r="J280" s="2" t="str">
        <x:v>Early life mandates a ban on the implementation of a unified theme strategy</x:v>
      </x:c>
      <x:c r="K280" s="2" t="str">
        <x:v>Respect the scope of disabled and do not create sessions or request providers</x:v>
      </x:c>
      <x:c r="L280" s="2" t="str">
        <x:v>The two sets of labels agree and the original decision is retained; see the original annotations for the action and its association with the root cause.</x:v>
      </x:c>
      <x:c r="M280" s="2" t="str">
        <x:v>https://github.com/openclaw/openclaw/issues/56699</x:v>
      </x:c>
      <x:c r="N280" s="2" t="str">
        <x:v>F03</x:v>
      </x:c>
      <x:c r="O280" s="2" t="str">
        <x:v>Determinate from available evidence</x:v>
      </x:c>
    </x:row>
    <x:row r="281" ht="35" customHeight="1">
      <x:c r="A281" s="2" t="str">
        <x:v>R0072</x:v>
      </x:c>
      <x:c r="B281" s="2" t="str">
        <x:v>openclaw/openclaw</x:v>
      </x:c>
      <x:c r="C281" s="2" t="n">
        <x:v>69386</x:v>
      </x:c>
      <x:c r="D281" s="2" t="str">
        <x:v>C10</x:v>
      </x:c>
      <x:c r="E281" s="2" t="str">
        <x:v>F02</x:v>
      </x:c>
      <x:c r="F281" s="2" t="str">
        <x:v>F02</x:v>
      </x:c>
      <x:c r="G281" s="2" t="str">
        <x:v>F02</x:v>
      </x:c>
      <x:c r="H281" s="2" t="str">
        <x:v>Execution-flow and state correction</x:v>
      </x:c>
      <x:c r="I281" s="2" t="str">
        <x:v>Partial coverage</x:v>
      </x:c>
      <x:c r="J281" s="2" t="str">
        <x:v>Refusal of approval as final and prohibited subsequent awakening</x:v>
      </x:c>
      <x:c r="K281" s="2" t="str">
        <x:v>The terminology for rejection, non-awakening and stop phrases in Chinese has been dropped; the plan-level unlimited alternative strategies have not been individually fixed and partially covered. </x:v>
      </x:c>
      <x:c r="L281" s="2" t="str">
        <x:v>Calculated integrated retest: rejected terminals, non-awakening and stop phrases in Chinese have been dropped; plan layer unlimited alternative strategies have not been individually fixed, retaining partial coverage.</x:v>
      </x:c>
      <x:c r="M281" s="2" t="str">
        <x:v>https://github.com/openclaw/openclaw/issues/69386</x:v>
      </x:c>
      <x:c r="N281" s="2" t="str">
        <x:v>F02</x:v>
      </x:c>
      <x:c r="O281" s="2" t="str">
        <x:v>Determinate from available evidence</x:v>
      </x:c>
    </x:row>
    <x:row r="282" ht="24" customHeight="1">
      <x:c r="A282" s="2" t="str">
        <x:v>R0092</x:v>
      </x:c>
      <x:c r="B282" s="2" t="str">
        <x:v>openclaw/openclaw</x:v>
      </x:c>
      <x:c r="C282" s="2" t="n">
        <x:v>81594</x:v>
      </x:c>
      <x:c r="D282" s="2" t="str">
        <x:v>C05</x:v>
      </x:c>
      <x:c r="E282" s="2" t="str">
        <x:v>F02</x:v>
      </x:c>
      <x:c r="F282" s="2" t="str">
        <x:v>F02</x:v>
      </x:c>
      <x:c r="G282" s="2" t="str">
        <x:v>F02</x:v>
      </x:c>
      <x:c r="H282" s="2" t="str">
        <x:v>Execution-flow and state correction</x:v>
      </x:c>
      <x:c r="I282" s="2" t="str">
        <x:v>Recorded as implemented in the source data</x:v>
      </x:c>
      <x:c r="J282" s="2" t="str">
        <x:v>Control commands to walk independent lanes and search for brothers running</x:v>
      </x:c>
      <x:c r="K282" s="2" t="str">
        <x:v>Avoid being blocked by chat routes and find the same pair of active runs</x:v>
      </x:c>
      <x:c r="L282" s="2" t="str">
        <x:v>The two sets of labels agree and the original decision is retained; see the original annotations for the action and its association with the root cause.</x:v>
      </x:c>
      <x:c r="M282" s="2" t="str">
        <x:v>https://github.com/openclaw/openclaw/issues/81594</x:v>
      </x:c>
      <x:c r="N282" s="2" t="str">
        <x:v>F02</x:v>
      </x:c>
      <x:c r="O282" s="2" t="str">
        <x:v>Determinate from available evidence</x:v>
      </x:c>
    </x:row>
    <x:row r="283" ht="48.5" customHeight="1">
      <x:c r="A283" s="2" t="str">
        <x:v>R0099</x:v>
      </x:c>
      <x:c r="B283" s="2" t="str">
        <x:v>openclaw/openclaw</x:v>
      </x:c>
      <x:c r="C283" s="2" t="n">
        <x:v>90638</x:v>
      </x:c>
      <x:c r="D283" s="2" t="str">
        <x:v>C15</x:v>
      </x:c>
      <x:c r="E283" s="2" t="str">
        <x:v>U1</x:v>
      </x:c>
      <x:c r="F283" s="2" t="str">
        <x:v>U1</x:v>
      </x:c>
      <x:c r="G283" s="2" t="str">
        <x:v>F03</x:v>
      </x:c>
      <x:c r="H283" s="2" t="str">
        <x:v>Validation and failure-path hardening</x:v>
      </x:c>
      <x:c r="I283" s="2" t="str">
        <x:v>Insufficient association evidence</x:v>
      </x:c>
      <x:c r="J283" s="2" t="str">
        <x:v>Recommended Action: Recommended to unify Slack private chat commands authorization and generate explicit failed feedback when rejected.</x:v>
      </x:c>
      <x:c r="K283" s="2" t="str">
        <x:v>There is no candidate specific action, with the authorization access chain unconnected and silent denial, the most direct need for a unified authorization access ban and denial ending. This is an additional closest-fit assignment, not an established repair fact.</x:v>
      </x:c>
      <x:c r="L283" s="2" t="str">
        <x:v>One closest-fit strategy is selected as additionally requested.  There is no candidate specific action, with the authorization access chain unconnected and silent denial, the most direct need for a unified authorization access ban and denial ending. This is an additional closest-fit assignment, not an established repair fact.  The original evidence review is U1; this does not establish that a targeted repair has been verified.</x:v>
      </x:c>
      <x:c r="M283" s="2" t="str">
        <x:v>https://github.com/openclaw/openclaw/issues/90638</x:v>
      </x:c>
      <x:c r="N283" s="2" t="str">
        <x:v>U1</x:v>
      </x:c>
      <x:c r="O283" s="2" t="str">
        <x:v>Inferred from the primary root cause</x:v>
      </x:c>
    </x:row>
    <x:row r="284" ht="24" customHeight="1">
      <x:c r="A284" s="2" t="str">
        <x:v>R0105</x:v>
      </x:c>
      <x:c r="B284" s="2" t="str">
        <x:v>openclaw/openclaw</x:v>
      </x:c>
      <x:c r="C284" s="2" t="n">
        <x:v>97686</x:v>
      </x:c>
      <x:c r="D284" s="2" t="str">
        <x:v>C10</x:v>
      </x:c>
      <x:c r="E284" s="2" t="str">
        <x:v>F02</x:v>
      </x:c>
      <x:c r="F284" s="2" t="str">
        <x:v>F02</x:v>
      </x:c>
      <x:c r="G284" s="2" t="str">
        <x:v>F02</x:v>
      </x:c>
      <x:c r="H284" s="2" t="str">
        <x:v>Execution-flow and state correction</x:v>
      </x:c>
      <x:c r="I284" s="2" t="str">
        <x:v>Candidate change not merged</x:v>
      </x:c>
      <x:c r="J284" s="2" t="str">
        <x:v>Text control commands go through the process path quickly</x:v>
      </x:c>
      <x:c r="K284" s="2" t="str">
        <x:v>Candidate repair system orders not delivered in line with normal message assignments</x:v>
      </x:c>
      <x:c r="L284" s="2" t="str">
        <x:v>The two sets of labels agree and the original decision is retained; see the original annotations for the action and its association with the root cause.</x:v>
      </x:c>
      <x:c r="M284" s="2" t="str">
        <x:v>https://github.com/openclaw/openclaw/issues/97686</x:v>
      </x:c>
      <x:c r="N284" s="2" t="str">
        <x:v>F02</x:v>
      </x:c>
      <x:c r="O284" s="2" t="str">
        <x:v>Determinate from available evidence</x:v>
      </x:c>
    </x:row>
    <x:row r="285" ht="24" customHeight="1">
      <x:c r="A285" s="2" t="str">
        <x:v>R0119</x:v>
      </x:c>
      <x:c r="B285" s="2" t="str">
        <x:v>openclaw/openclaw</x:v>
      </x:c>
      <x:c r="C285" s="2" t="n">
        <x:v>122812</x:v>
      </x:c>
      <x:c r="D285" s="2" t="str">
        <x:v>C08</x:v>
      </x:c>
      <x:c r="E285" s="2" t="str">
        <x:v>F02</x:v>
      </x:c>
      <x:c r="F285" s="2" t="str">
        <x:v>F02</x:v>
      </x:c>
      <x:c r="G285" s="2" t="str">
        <x:v>F02</x:v>
      </x:c>
      <x:c r="H285" s="2" t="str">
        <x:v>Execution-flow and state correction</x:v>
      </x:c>
      <x:c r="I285" s="2" t="str">
        <x:v>Partial coverage</x:v>
      </x:c>
      <x:c r="J285" s="2" t="str">
        <x:v>Excluding explicit Skill choices that refer to historical triggers</x:v>
      </x:c>
      <x:c r="K285" s="2" t="str">
        <x:v>Distinguish the current Skill selection from the historical context to avoid incorrectly injecting the correct one</x:v>
      </x:c>
      <x:c r="L285" s="2" t="str">
        <x:v>The two sets of labels agree and the original decision is retained; see the original annotations for the action and its association with the root cause.</x:v>
      </x:c>
      <x:c r="M285" s="2" t="str">
        <x:v>https://github.com/openclaw/openclaw/issues/122812</x:v>
      </x:c>
      <x:c r="N285" s="2" t="str">
        <x:v>F02</x:v>
      </x:c>
      <x:c r="O285" s="2" t="str">
        <x:v>Determinate from available evidence</x:v>
      </x:c>
    </x:row>
    <x:row r="286" ht="24" customHeight="1">
      <x:c r="A286" s="2" t="str">
        <x:v>R0130</x:v>
      </x:c>
      <x:c r="B286" s="2" t="str">
        <x:v>NousResearch/hermes-agent</x:v>
      </x:c>
      <x:c r="C286" s="2" t="n">
        <x:v>44</x:v>
      </x:c>
      <x:c r="D286" s="2" t="str">
        <x:v>C23</x:v>
      </x:c>
      <x:c r="E286" s="2" t="str">
        <x:v>F01</x:v>
      </x:c>
      <x:c r="F286" s="2" t="str">
        <x:v>F01</x:v>
      </x:c>
      <x:c r="G286" s="2" t="str">
        <x:v>F01</x:v>
      </x:c>
      <x:c r="H286" s="2" t="str">
        <x:v>Representation and usage-contract alignment</x:v>
      </x:c>
      <x:c r="I286" s="2" t="str">
        <x:v>Recorded as implemented in the source data</x:v>
      </x:c>
      <x:c r="J286" s="2" t="str">
        <x:v>The Skill has changed the format of the process to the General Library Path</x:v>
      </x:c>
      <x:c r="K286" s="2" t="str">
        <x:v>Remove the author's hard-coded absolute path, and rewrite the port using the default</x:v>
      </x:c>
      <x:c r="L286" s="2" t="str">
        <x:v>The two sets of labels agree and the original decision is retained; see the original annotations for the action and its association with the root cause.</x:v>
      </x:c>
      <x:c r="M286" s="2" t="str">
        <x:v>https://github.com/NousResearch/hermes-agent/issues/44</x:v>
      </x:c>
      <x:c r="N286" s="2" t="str">
        <x:v>F01</x:v>
      </x:c>
      <x:c r="O286" s="2" t="str">
        <x:v>Determinate from available evidence</x:v>
      </x:c>
    </x:row>
    <x:row r="287" ht="35" customHeight="1">
      <x:c r="A287" s="2" t="str">
        <x:v>R0152</x:v>
      </x:c>
      <x:c r="B287" s="2" t="str">
        <x:v>NousResearch/hermes-agent</x:v>
      </x:c>
      <x:c r="C287" s="2" t="n">
        <x:v>8193</x:v>
      </x:c>
      <x:c r="D287" s="2" t="str">
        <x:v>C02</x:v>
      </x:c>
      <x:c r="E287" s="2" t="str">
        <x:v>F01</x:v>
      </x:c>
      <x:c r="F287" s="2" t="str">
        <x:v>F01</x:v>
      </x:c>
      <x:c r="G287" s="2" t="str">
        <x:v>F01</x:v>
      </x:c>
      <x:c r="H287" s="2" t="str">
        <x:v>Representation and usage-contract alignment</x:v>
      </x:c>
      <x:c r="I287" s="2" t="str">
        <x:v>Recorded as implemented in the source data</x:v>
      </x:c>
      <x:c r="J287" s="2" t="str">
        <x:v>Unified Quartet returns and synchronizes all unpacking points</x:v>
      </x:c>
      <x:c r="K287" s="2" t="str">
        <x:v>Eliminate blurred replacement interface changes to non-synchronized return contracts mismatches</x:v>
      </x:c>
      <x:c r="L287" s="2" t="str">
        <x:v>The two sets of labels agree and the original decision is retained; see the original annotations for the action and its association with the root cause.</x:v>
      </x:c>
      <x:c r="M287" s="2" t="str">
        <x:v>https://github.com/NousResearch/hermes-agent/issues/8193</x:v>
      </x:c>
      <x:c r="N287" s="2" t="str">
        <x:v>F01</x:v>
      </x:c>
      <x:c r="O287" s="2" t="str">
        <x:v>Determinate from available evidence</x:v>
      </x:c>
    </x:row>
    <x:row r="288" ht="35" customHeight="1">
      <x:c r="A288" s="2" t="str">
        <x:v>R0159</x:v>
      </x:c>
      <x:c r="B288" s="2" t="str">
        <x:v>NousResearch/hermes-agent</x:v>
      </x:c>
      <x:c r="C288" s="2" t="n">
        <x:v>13027</x:v>
      </x:c>
      <x:c r="D288" s="2" t="str">
        <x:v>C16</x:v>
      </x:c>
      <x:c r="E288" s="2" t="str">
        <x:v>F03</x:v>
      </x:c>
      <x:c r="F288" s="2" t="str">
        <x:v>F02</x:v>
      </x:c>
      <x:c r="G288" s="2" t="str">
        <x:v>F03</x:v>
      </x:c>
      <x:c r="H288" s="2" t="str">
        <x:v>Validation and failure-path hardening</x:v>
      </x:c>
      <x:c r="I288" s="2" t="str">
        <x:v>Recorded as implemented in the source data</x:v>
      </x:c>
      <x:c r="J288" s="2" t="str">
        <x:v>Disable the decision reading session platform context</x:v>
      </x:c>
      <x:c r="K288" s="2" t="str">
        <x:v>Additional session platform sources directly enforce the blockade; button freeze rules prioritize the blockade test rather than the general detection scope.</x:v>
      </x:c>
      <x:c r="L288" s="2" t="str">
        <x:v>After computing, integrated retest: the source of the session platform directly enables the blockage to take effect; button freezing rules prioritize the blockage test rather than the general detection scope.</x:v>
      </x:c>
      <x:c r="M288" s="2" t="str">
        <x:v>https://github.com/NousResearch/hermes-agent/issues/13027</x:v>
      </x:c>
      <x:c r="N288" s="2" t="str">
        <x:v>F03</x:v>
      </x:c>
      <x:c r="O288" s="2" t="str">
        <x:v>Determinate from available evidence</x:v>
      </x:c>
    </x:row>
    <x:row r="289" ht="35" customHeight="1">
      <x:c r="A289" s="2" t="str">
        <x:v>R0172</x:v>
      </x:c>
      <x:c r="B289" s="2" t="str">
        <x:v>NousResearch/hermes-agent</x:v>
      </x:c>
      <x:c r="C289" s="2" t="n">
        <x:v>18671</x:v>
      </x:c>
      <x:c r="D289" s="2" t="str">
        <x:v>C05</x:v>
      </x:c>
      <x:c r="E289" s="2" t="str">
        <x:v>F01</x:v>
      </x:c>
      <x:c r="F289" s="2" t="str">
        <x:v>F01</x:v>
      </x:c>
      <x:c r="G289" s="2" t="str">
        <x:v>F01</x:v>
      </x:c>
      <x:c r="H289" s="2" t="str">
        <x:v>Representation and usage-contract alignment</x:v>
      </x:c>
      <x:c r="I289" s="2" t="str">
        <x:v>Recorded as implemented in the source data</x:v>
      </x:c>
      <x:c r="J289" s="2" t="str">
        <x:v>Use explicit absorbed_into as a classification basis when deleting</x:v>
      </x:c>
      <x:c r="K289" s="2" t="str">
        <x:v>Alternate YAML substring inspiration with authority fields, accurately distinguishing between merging and cutting</x:v>
      </x:c>
      <x:c r="L289" s="2" t="str">
        <x:v>The two sets of labels agree and the original decision is retained; see the original annotations for the action and its association with the root cause.</x:v>
      </x:c>
      <x:c r="M289" s="2" t="str">
        <x:v>https://github.com/NousResearch/hermes-agent/issues/18671</x:v>
      </x:c>
      <x:c r="N289" s="2" t="str">
        <x:v>F01</x:v>
      </x:c>
      <x:c r="O289" s="2" t="str">
        <x:v>Determinate from available evidence</x:v>
      </x:c>
    </x:row>
    <x:row r="290" ht="35" customHeight="1">
      <x:c r="A290" s="2" t="str">
        <x:v>R0216</x:v>
      </x:c>
      <x:c r="B290" s="2" t="str">
        <x:v>NousResearch/hermes-agent</x:v>
      </x:c>
      <x:c r="C290" s="2" t="n">
        <x:v>51691</x:v>
      </x:c>
      <x:c r="D290" s="2" t="str">
        <x:v>C01</x:v>
      </x:c>
      <x:c r="E290" s="2" t="str">
        <x:v>F01</x:v>
      </x:c>
      <x:c r="F290" s="2" t="str">
        <x:v>F01</x:v>
      </x:c>
      <x:c r="G290" s="2" t="str">
        <x:v>F01</x:v>
      </x:c>
      <x:c r="H290" s="2" t="str">
        <x:v>Representation and usage-contract alignment</x:v>
      </x:c>
      <x:c r="I290" s="2" t="str">
        <x:v>Recorded as implemented in the source data</x:v>
      </x:c>
      <x:c r="J290" s="2" t="str">
        <x:v>Process and read subtext explicitly specify UTF8 code</x:v>
      </x:c>
      <x:c r="K290" s="2" t="str">
        <x:v>Prevention area GBK Decoding UTF8 shell The output</x:v>
      </x:c>
      <x:c r="L290" s="2" t="str">
        <x:v>The two sets of labels agree and the original decision is retained; see the original annotations for the action and its association with the root cause.</x:v>
      </x:c>
      <x:c r="M290" s="2" t="str">
        <x:v>https://github.com/NousResearch/hermes-agent/issues/51691</x:v>
      </x:c>
      <x:c r="N290" s="2" t="str">
        <x:v>F01</x:v>
      </x:c>
      <x:c r="O290" s="2" t="str">
        <x:v>Determinate from available evidence</x:v>
      </x:c>
    </x:row>
    <x:row r="291" ht="48.5" customHeight="1">
      <x:c r="A291" s="2" t="str">
        <x:v>R0222</x:v>
      </x:c>
      <x:c r="B291" s="2" t="str">
        <x:v>NousResearch/hermes-agent</x:v>
      </x:c>
      <x:c r="C291" s="2" t="n">
        <x:v>57315</x:v>
      </x:c>
      <x:c r="D291" s="2" t="str">
        <x:v>C09</x:v>
      </x:c>
      <x:c r="E291" s="2" t="str">
        <x:v>U1</x:v>
      </x:c>
      <x:c r="F291" s="2" t="str">
        <x:v>U1</x:v>
      </x:c>
      <x:c r="G291" s="2" t="str">
        <x:v>F02</x:v>
      </x:c>
      <x:c r="H291" s="2" t="str">
        <x:v>Execution-flow and state correction</x:v>
      </x:c>
      <x:c r="I291" s="2" t="str">
        <x:v>Recorded as implemented in the source data</x:v>
      </x:c>
      <x:c r="J291" s="2" t="str">
        <x:v>Recommended Action: Recommended tool set to deduct the ownership-reference distinction and retain shared core tool.</x:v>
      </x:c>
      <x:c r="K291" s="2" t="str">
        <x:v>The goal of repair is clearly no longer to deduct the shared core tool, closest to the final tool set selection; specific modification definitions or decomposition algorithms have not yet been given. This is an additional closest-fit assignment, not an established repair fact.</x:v>
      </x:c>
      <x:c r="L291" s="2" t="str">
        <x:v>One closest-fit strategy is selected as additionally requested.  The goal of repair is clearly no longer to deduct the shared core tool, closest to the final tool set selection; specific modification definitions or decomposition algorithms have not yet been given. This is an additional closest-fit assignment, not an established repair fact.  The original evidence review is U1; this does not establish that a targeted repair has been verified.</x:v>
      </x:c>
      <x:c r="M291" s="2" t="str">
        <x:v>https://github.com/NousResearch/hermes-agent/issues/57315</x:v>
      </x:c>
      <x:c r="N291" s="2" t="str">
        <x:v>U1</x:v>
      </x:c>
      <x:c r="O291" s="2" t="str">
        <x:v>Closest fit to the intent described in the summary</x:v>
      </x:c>
    </x:row>
    <x:row r="292" ht="35" customHeight="1">
      <x:c r="A292" s="2" t="str">
        <x:v>R0233</x:v>
      </x:c>
      <x:c r="B292" s="2" t="str">
        <x:v>NousResearch/hermes-agent</x:v>
      </x:c>
      <x:c r="C292" s="2" t="n">
        <x:v>62863</x:v>
      </x:c>
      <x:c r="D292" s="2" t="str">
        <x:v>C10</x:v>
      </x:c>
      <x:c r="E292" s="2" t="str">
        <x:v>F02</x:v>
      </x:c>
      <x:c r="F292" s="2" t="str">
        <x:v>F02</x:v>
      </x:c>
      <x:c r="G292" s="2" t="str">
        <x:v>F02</x:v>
      </x:c>
      <x:c r="H292" s="2" t="str">
        <x:v>Execution-flow and state correction</x:v>
      </x:c>
      <x:c r="I292" s="2" t="str">
        <x:v>Recorded as implemented in the source data</x:v>
      </x:c>
      <x:c r="J292" s="2" t="str">
        <x:v>Skill packs launch messages as a proxy round of distribution</x:v>
      </x:c>
      <x:c r="K292" s="2" t="str">
        <x:v>Connecting TUI private queues to Agent execution chains</x:v>
      </x:c>
      <x:c r="L292" s="2" t="str">
        <x:v>The two sets of labels agree and the original decision is retained; see the original annotations for the action and its association with the root cause.</x:v>
      </x:c>
      <x:c r="M292" s="2" t="str">
        <x:v>https://github.com/NousResearch/hermes-agent/issues/62863</x:v>
      </x:c>
      <x:c r="N292" s="2" t="str">
        <x:v>F02</x:v>
      </x:c>
      <x:c r="O292" s="2" t="str">
        <x:v>Determinate from available evidence</x:v>
      </x:c>
    </x:row>
    <x:row r="293" ht="35" customHeight="1">
      <x:c r="A293" s="2" t="str">
        <x:v>R0140</x:v>
      </x:c>
      <x:c r="B293" s="2" t="str">
        <x:v>NousResearch/hermes-agent</x:v>
      </x:c>
      <x:c r="C293" s="2" t="n">
        <x:v>4219</x:v>
      </x:c>
      <x:c r="D293" s="2" t="str">
        <x:v>C09</x:v>
      </x:c>
      <x:c r="E293" s="2" t="str">
        <x:v>F02</x:v>
      </x:c>
      <x:c r="F293" s="2" t="str">
        <x:v>F02</x:v>
      </x:c>
      <x:c r="G293" s="2" t="str">
        <x:v>F02</x:v>
      </x:c>
      <x:c r="H293" s="2" t="str">
        <x:v>Execution-flow and state correction</x:v>
      </x:c>
      <x:c r="I293" s="2" t="str">
        <x:v>Recorded as implemented in the source data</x:v>
      </x:c>
      <x:c r="J293" s="2" t="str">
        <x:v>MCP findings initialized before timing agent construction</x:v>
      </x:c>
      <x:c r="K293" s="2" t="str">
        <x:v>Initialization of the ability of cron to initiate path missing</x:v>
      </x:c>
      <x:c r="L293" s="2" t="str">
        <x:v>The two sets of labels agree and the original decision is retained; see the original annotations for the action and its association with the root cause.</x:v>
      </x:c>
      <x:c r="M293" s="2" t="str">
        <x:v>https://github.com/NousResearch/hermes-agent/issues/4219</x:v>
      </x:c>
      <x:c r="N293" s="2" t="str">
        <x:v>F02</x:v>
      </x:c>
      <x:c r="O293" s="2" t="str">
        <x:v>Determinate from available evidence</x:v>
      </x:c>
    </x:row>
    <x:row r="294" ht="24" customHeight="1">
      <x:c r="A294" s="2" t="str">
        <x:v>R0020</x:v>
      </x:c>
      <x:c r="B294" s="2" t="str">
        <x:v>openclaw/openclaw</x:v>
      </x:c>
      <x:c r="C294" s="2" t="n">
        <x:v>23385</x:v>
      </x:c>
      <x:c r="D294" s="2" t="str">
        <x:v>C02</x:v>
      </x:c>
      <x:c r="E294" s="2" t="str">
        <x:v>F01</x:v>
      </x:c>
      <x:c r="F294" s="2" t="str">
        <x:v>F01</x:v>
      </x:c>
      <x:c r="G294" s="2" t="str">
        <x:v>F01</x:v>
      </x:c>
      <x:c r="H294" s="2" t="str">
        <x:v>Representation and usage-contract alignment</x:v>
      </x:c>
      <x:c r="I294" s="2" t="str">
        <x:v>Recorded as implemented in the source data</x:v>
      </x:c>
      <x:c r="J294" s="2" t="str">
        <x:v>Complementing schema configuration with type support fields</x:v>
      </x:c>
      <x:c r="K294" s="2" t="str">
        <x:v>Strictly configuring acknowledges existing legitimate fields and restores data contracts</x:v>
      </x:c>
      <x:c r="L294" s="2" t="str">
        <x:v>The two sets of labels agree and the original decision is retained; see the original annotations for the action and its association with the root cause.</x:v>
      </x:c>
      <x:c r="M294" s="2" t="str">
        <x:v>https://github.com/openclaw/openclaw/issues/23385</x:v>
      </x:c>
      <x:c r="N294" s="2" t="str">
        <x:v>F01</x:v>
      </x:c>
      <x:c r="O294" s="2" t="str">
        <x:v>Determinate from available evidence</x:v>
      </x:c>
    </x:row>
    <x:row r="295" ht="24" customHeight="1">
      <x:c r="A295" s="2" t="str">
        <x:v>R0083</x:v>
      </x:c>
      <x:c r="B295" s="2" t="str">
        <x:v>openclaw/openclaw</x:v>
      </x:c>
      <x:c r="C295" s="2" t="n">
        <x:v>76209</x:v>
      </x:c>
      <x:c r="D295" s="2" t="str">
        <x:v>C20</x:v>
      </x:c>
      <x:c r="E295" s="2" t="str">
        <x:v>F02</x:v>
      </x:c>
      <x:c r="F295" s="2" t="str">
        <x:v>F02</x:v>
      </x:c>
      <x:c r="G295" s="2" t="str">
        <x:v>F02</x:v>
      </x:c>
      <x:c r="H295" s="2" t="str">
        <x:v>Execution-flow and state correction</x:v>
      </x:c>
      <x:c r="I295" s="2" t="str">
        <x:v>Recorded as implemented in the source data</x:v>
      </x:c>
      <x:c r="J295" s="2" t="str">
        <x:v>Lists of presence detection increase process-level cache</x:v>
      </x:c>
      <x:c r="K295" s="2" t="str">
        <x:v>Avoid starting repeated sync file detection cumulative delays</x:v>
      </x:c>
      <x:c r="L295" s="2" t="str">
        <x:v>The two sets of labels agree and the original decision is retained; see the original annotations for the action and its association with the root cause.</x:v>
      </x:c>
      <x:c r="M295" s="2" t="str">
        <x:v>https://github.com/openclaw/openclaw/issues/76209</x:v>
      </x:c>
      <x:c r="N295" s="2" t="str">
        <x:v>F02</x:v>
      </x:c>
      <x:c r="O295" s="2" t="str">
        <x:v>Determinate from available evidence</x:v>
      </x:c>
    </x:row>
    <x:row r="296" ht="24" customHeight="1">
      <x:c r="A296" s="2" t="str">
        <x:v>R0088</x:v>
      </x:c>
      <x:c r="B296" s="2" t="str">
        <x:v>openclaw/openclaw</x:v>
      </x:c>
      <x:c r="C296" s="2" t="n">
        <x:v>77434</x:v>
      </x:c>
      <x:c r="D296" s="2" t="str">
        <x:v>C10</x:v>
      </x:c>
      <x:c r="E296" s="2" t="str">
        <x:v>F02</x:v>
      </x:c>
      <x:c r="F296" s="2" t="str">
        <x:v>F02</x:v>
      </x:c>
      <x:c r="G296" s="2" t="str">
        <x:v>F02</x:v>
      </x:c>
      <x:c r="H296" s="2" t="str">
        <x:v>Execution-flow and state correction</x:v>
      </x:c>
      <x:c r="I296" s="2" t="str">
        <x:v>Recorded as implemented in the source data</x:v>
      </x:c>
      <x:c r="J296" s="2" t="str">
        <x:v>Repositioning requests under the main scope</x:v>
      </x:c>
      <x:c r="K296" s="2" t="str">
        <x:v>Allocating WebChat naked new to the correct status change path instead of newly constructed child session</x:v>
      </x:c>
      <x:c r="L296" s="2" t="str">
        <x:v>The two sets of labels agree and the original decision is retained; see the original annotations for the action and its association with the root cause.</x:v>
      </x:c>
      <x:c r="M296" s="2" t="str">
        <x:v>https://github.com/openclaw/openclaw/issues/77434</x:v>
      </x:c>
      <x:c r="N296" s="2" t="str">
        <x:v>F02</x:v>
      </x:c>
      <x:c r="O296" s="2" t="str">
        <x:v>Determinate from available evidence</x:v>
      </x:c>
    </x:row>
    <x:row r="297" ht="48.5" customHeight="1">
      <x:c r="A297" s="2" t="str">
        <x:v>R0036</x:v>
      </x:c>
      <x:c r="B297" s="2" t="str">
        <x:v>openclaw/openclaw</x:v>
      </x:c>
      <x:c r="C297" s="2" t="n">
        <x:v>43383</x:v>
      </x:c>
      <x:c r="D297" s="2" t="str">
        <x:v>C18</x:v>
      </x:c>
      <x:c r="E297" s="2" t="str">
        <x:v>U1</x:v>
      </x:c>
      <x:c r="F297" s="2" t="str">
        <x:v>U1</x:v>
      </x:c>
      <x:c r="G297" s="2" t="str">
        <x:v>F02</x:v>
      </x:c>
      <x:c r="H297" s="2" t="str">
        <x:v>Execution-flow and state correction</x:v>
      </x:c>
      <x:c r="I297" s="2" t="str">
        <x:v>Insufficient association evidence</x:v>
      </x:c>
      <x:c r="J297" s="2" t="str">
        <x:v>Recommended Action: Recommended to rebuild or re-mapp Skill snapshots and update the injecting position when entering the sandbox</x:v>
      </x:c>
      <x:c r="K297" s="2" t="str">
        <x:v>Accurate path prompt cannot fix the wrong host snapshot, directly requiring updating the selected Skill status when switching in the sandbox.  An inferred match only; not recognized as a verified repair.</x:v>
      </x:c>
      <x:c r="L297" s="2" t="str">
        <x:v>One closest-fit strategy is selected as additionally requested.  Accurate path prompt cannot fix the wrong host snapshot, directly requiring updating the selected Skill status when switching in the sandbox.  An inferred match only; not recognized as a verified repair.  The original evidence review is U1; this does not establish that a targeted repair has been verified.</x:v>
      </x:c>
      <x:c r="M297" s="2" t="str">
        <x:v>https://github.com/openclaw/openclaw/issues/43383</x:v>
      </x:c>
      <x:c r="N297" s="2" t="str">
        <x:v>U1</x:v>
      </x:c>
      <x:c r="O297" s="2" t="str">
        <x:v>Inferred from the primary root cause</x:v>
      </x:c>
    </x:row>
    <x:row r="298" ht="24" customHeight="1">
      <x:c r="A298" s="2" t="str">
        <x:v>R0009</x:v>
      </x:c>
      <x:c r="B298" s="2" t="str">
        <x:v>openclaw/openclaw</x:v>
      </x:c>
      <x:c r="C298" s="2" t="n">
        <x:v>10438</x:v>
      </x:c>
      <x:c r="D298" s="2" t="str">
        <x:v>C10</x:v>
      </x:c>
      <x:c r="E298" s="2" t="str">
        <x:v>F03</x:v>
      </x:c>
      <x:c r="F298" s="2" t="str">
        <x:v>F03</x:v>
      </x:c>
      <x:c r="G298" s="2" t="str">
        <x:v>F03</x:v>
      </x:c>
      <x:c r="H298" s="2" t="str">
        <x:v>Validation and failure-path hardening</x:v>
      </x:c>
      <x:c r="I298" s="2" t="str">
        <x:v>Implementation status pending verification</x:v>
      </x:c>
      <x:c r="J298" s="2" t="str">
        <x:v>Referring to the object of the event as the robot itself</x:v>
      </x:c>
      <x:c r="K298" s="2" t="str">
        <x:v>Refusing to mention a person as a trigger agent</x:v>
      </x:c>
      <x:c r="L298" s="2" t="str">
        <x:v>The two sets of labels agree and the original decision is retained; see the original annotations for the action and its association with the root cause.</x:v>
      </x:c>
      <x:c r="M298" s="2" t="str">
        <x:v>https://github.com/openclaw/openclaw/issues/10438</x:v>
      </x:c>
      <x:c r="N298" s="2" t="str">
        <x:v>F03</x:v>
      </x:c>
      <x:c r="O298" s="2" t="str">
        <x:v>Determinate from available evidence</x:v>
      </x:c>
    </x:row>
    <x:row r="299" ht="24" customHeight="1">
      <x:c r="A299" s="2" t="str">
        <x:v>R0103</x:v>
      </x:c>
      <x:c r="B299" s="2" t="str">
        <x:v>openclaw/openclaw</x:v>
      </x:c>
      <x:c r="C299" s="2" t="n">
        <x:v>92338</x:v>
      </x:c>
      <x:c r="D299" s="2" t="str">
        <x:v>C13</x:v>
      </x:c>
      <x:c r="E299" s="2" t="str">
        <x:v>F02</x:v>
      </x:c>
      <x:c r="F299" s="2" t="str">
        <x:v>F02</x:v>
      </x:c>
      <x:c r="G299" s="2" t="str">
        <x:v>F02</x:v>
      </x:c>
      <x:c r="H299" s="2" t="str">
        <x:v>Execution-flow and state correction</x:v>
      </x:c>
      <x:c r="I299" s="2" t="str">
        <x:v>Implementation status pending verification</x:v>
      </x:c>
      <x:c r="J299" s="2" t="str">
        <x:v>Time-isolation running supplements and dispatch diagnostics events</x:v>
      </x:c>
      <x:c r="K299" s="2" t="str">
        <x:v>Get the calculated consumption across lifecycle events to observers and subscribers</x:v>
      </x:c>
      <x:c r="L299" s="2" t="str">
        <x:v>The two sets of labels agree and the original decision is retained; see the original annotations for the action and its association with the root cause.</x:v>
      </x:c>
      <x:c r="M299" s="2" t="str">
        <x:v>https://github.com/openclaw/openclaw/issues/92338</x:v>
      </x:c>
      <x:c r="N299" s="2" t="str">
        <x:v>F02</x:v>
      </x:c>
      <x:c r="O299" s="2" t="str">
        <x:v>Determinate from available evidence</x:v>
      </x:c>
    </x:row>
    <x:row r="300" ht="24" customHeight="1">
      <x:c r="A300" s="2" t="str">
        <x:v>R0106</x:v>
      </x:c>
      <x:c r="B300" s="2" t="str">
        <x:v>openclaw/openclaw</x:v>
      </x:c>
      <x:c r="C300" s="2" t="n">
        <x:v>99240</x:v>
      </x:c>
      <x:c r="D300" s="2" t="str">
        <x:v>C04</x:v>
      </x:c>
      <x:c r="E300" s="2" t="str">
        <x:v>F01</x:v>
      </x:c>
      <x:c r="F300" s="2" t="str">
        <x:v>F01</x:v>
      </x:c>
      <x:c r="G300" s="2" t="str">
        <x:v>F01</x:v>
      </x:c>
      <x:c r="H300" s="2" t="str">
        <x:v>Representation and usage-contract alignment</x:v>
      </x:c>
      <x:c r="I300" s="2" t="str">
        <x:v>Implementation status pending verification</x:v>
      </x:c>
      <x:c r="J300" s="2" t="str">
        <x:v>Maintain the provider's reasoning rating and supplement Claude capability marking</x:v>
      </x:c>
      <x:c r="K300" s="2" t="str">
        <x:v>Classification directory false conflicts with the actual capabilities of providers</x:v>
      </x:c>
      <x:c r="L300" s="2" t="str">
        <x:v>The two sets of labels agree and the original decision is retained; see the original annotations for the action and its association with the root cause.</x:v>
      </x:c>
      <x:c r="M300" s="2" t="str">
        <x:v>https://github.com/openclaw/openclaw/issues/99240</x:v>
      </x:c>
      <x:c r="N300" s="2" t="str">
        <x:v>F01</x:v>
      </x:c>
      <x:c r="O300" s="2" t="str">
        <x:v>Determinate from available evidence</x:v>
      </x:c>
    </x:row>
    <x:row r="301" ht="35" customHeight="1">
      <x:c r="A301" s="2" t="str">
        <x:v>R0164</x:v>
      </x:c>
      <x:c r="B301" s="2" t="str">
        <x:v>NousResearch/hermes-agent</x:v>
      </x:c>
      <x:c r="C301" s="2" t="n">
        <x:v>15759</x:v>
      </x:c>
      <x:c r="D301" s="2" t="str">
        <x:v>C10</x:v>
      </x:c>
      <x:c r="E301" s="2" t="str">
        <x:v>F03</x:v>
      </x:c>
      <x:c r="F301" s="2" t="str">
        <x:v>F03</x:v>
      </x:c>
      <x:c r="G301" s="2" t="str">
        <x:v>F03</x:v>
      </x:c>
      <x:c r="H301" s="2" t="str">
        <x:v>Validation and failure-path hardening</x:v>
      </x:c>
      <x:c r="I301" s="2" t="str">
        <x:v>Implementation status pending verification</x:v>
      </x:c>
      <x:c r="J301" s="2" t="str">
        <x:v>Unified reading keys and blocks when retrieving root threats</x:v>
      </x:c>
      <x:c r="K301" s="2" t="str">
        <x:v>Around the same time, the deduplication was able to complete its round-trip check-in in advance.</x:v>
      </x:c>
      <x:c r="L301" s="2" t="str">
        <x:v>The two sets of labels agree and the original decision is retained; see the original annotations for the action and its association with the root cause.</x:v>
      </x:c>
      <x:c r="M301" s="2" t="str">
        <x:v>https://github.com/NousResearch/hermes-agent/issues/15759</x:v>
      </x:c>
      <x:c r="N301" s="2" t="str">
        <x:v>F03</x:v>
      </x:c>
      <x:c r="O301" s="2" t="str">
        <x:v>Determinate from available evidence</x:v>
      </x:c>
    </x:row>
    <x:row r="302" ht="35" customHeight="1">
      <x:c r="A302" s="2" t="str">
        <x:v>R0166</x:v>
      </x:c>
      <x:c r="B302" s="2" t="str">
        <x:v>NousResearch/hermes-agent</x:v>
      </x:c>
      <x:c r="C302" s="2" t="n">
        <x:v>16294</x:v>
      </x:c>
      <x:c r="D302" s="2" t="str">
        <x:v>C10</x:v>
      </x:c>
      <x:c r="E302" s="2" t="str">
        <x:v>F02</x:v>
      </x:c>
      <x:c r="F302" s="2" t="str">
        <x:v>F02</x:v>
      </x:c>
      <x:c r="G302" s="2" t="str">
        <x:v>F02</x:v>
      </x:c>
      <x:c r="H302" s="2" t="str">
        <x:v>Execution-flow and state correction</x:v>
      </x:c>
      <x:c r="I302" s="2" t="str">
        <x:v>Implementation status pending verification</x:v>
      </x:c>
      <x:c r="J302" s="2" t="str">
        <x:v>Save sessions into HOME indexing and browse browsing</x:v>
      </x:c>
      <x:c r="K302" s="2" t="str">
        <x:v>Restore the drop-down session and find consistency with the list</x:v>
      </x:c>
      <x:c r="L302" s="2" t="str">
        <x:v>The two sets of labels agree and the original decision is retained; see the original annotations for the action and its association with the root cause.</x:v>
      </x:c>
      <x:c r="M302" s="2" t="str">
        <x:v>https://github.com/NousResearch/hermes-agent/issues/16294</x:v>
      </x:c>
      <x:c r="N302" s="2" t="str">
        <x:v>F02</x:v>
      </x:c>
      <x:c r="O302" s="2" t="str">
        <x:v>Determinate from available evidence</x:v>
      </x:c>
    </x:row>
    <x:row r="303" ht="35" customHeight="1">
      <x:c r="A303" s="2" t="str">
        <x:v>R0176</x:v>
      </x:c>
      <x:c r="B303" s="2" t="str">
        <x:v>NousResearch/hermes-agent</x:v>
      </x:c>
      <x:c r="C303" s="2" t="n">
        <x:v>22357</x:v>
      </x:c>
      <x:c r="D303" s="2" t="str">
        <x:v>C06</x:v>
      </x:c>
      <x:c r="E303" s="2" t="str">
        <x:v>F02</x:v>
      </x:c>
      <x:c r="F303" s="2" t="str">
        <x:v>F02</x:v>
      </x:c>
      <x:c r="G303" s="2" t="str">
        <x:v>F02</x:v>
      </x:c>
      <x:c r="H303" s="2" t="str">
        <x:v>Execution-flow and state correction</x:v>
      </x:c>
      <x:c r="I303" s="2" t="str">
        <x:v>Implementation status pending verification</x:v>
      </x:c>
      <x:c r="J303" s="2" t="str">
        <x:v>From the Conversations Historical Hydrology Memory Compilation</x:v>
      </x:c>
      <x:c r="K303" s="2" t="str">
        <x:v>New proxy instances inherit the number of historical rounds instead of zeroing each round</x:v>
      </x:c>
      <x:c r="L303" s="2" t="str">
        <x:v>The two sets of labels agree and the original decision is retained; see the original annotations for the action and its association with the root cause.</x:v>
      </x:c>
      <x:c r="M303" s="2" t="str">
        <x:v>https://github.com/NousResearch/hermes-agent/issues/22357</x:v>
      </x:c>
      <x:c r="N303" s="2" t="str">
        <x:v>F02</x:v>
      </x:c>
      <x:c r="O303" s="2" t="str">
        <x:v>Determinate from available evidence</x:v>
      </x:c>
    </x:row>
    <x:row r="304" ht="35" customHeight="1">
      <x:c r="A304" s="2" t="str">
        <x:v>R0181</x:v>
      </x:c>
      <x:c r="B304" s="2" t="str">
        <x:v>NousResearch/hermes-agent</x:v>
      </x:c>
      <x:c r="C304" s="2" t="n">
        <x:v>24969</x:v>
      </x:c>
      <x:c r="D304" s="2" t="str">
        <x:v>C16</x:v>
      </x:c>
      <x:c r="E304" s="2" t="str">
        <x:v>F01</x:v>
      </x:c>
      <x:c r="F304" s="2" t="str">
        <x:v>F01</x:v>
      </x:c>
      <x:c r="G304" s="2" t="str">
        <x:v>F01</x:v>
      </x:c>
      <x:c r="H304" s="2" t="str">
        <x:v>Representation and usage-contract alignment</x:v>
      </x:c>
      <x:c r="I304" s="2" t="str">
        <x:v>Implementation status pending verification</x:v>
      </x:c>
      <x:c r="J304" s="2" t="str">
        <x:v>Instructions for reading TERMINAL_CWD work directories</x:v>
      </x:c>
      <x:c r="K304" s="2" t="str">
        <x:v>Model guidance is consistent with tool's actual operating directory</x:v>
      </x:c>
      <x:c r="L304" s="2" t="str">
        <x:v>The two sets of labels agree and the original decision is retained; see the original annotations for the action and its association with the root cause.</x:v>
      </x:c>
      <x:c r="M304" s="2" t="str">
        <x:v>https://github.com/NousResearch/hermes-agent/issues/24969</x:v>
      </x:c>
      <x:c r="N304" s="2" t="str">
        <x:v>F01</x:v>
      </x:c>
      <x:c r="O304" s="2" t="str">
        <x:v>Determinate from available evidence</x:v>
      </x:c>
    </x:row>
    <x:row r="305" ht="35" customHeight="1">
      <x:c r="A305" s="2" t="str">
        <x:v>R0234</x:v>
      </x:c>
      <x:c r="B305" s="2" t="str">
        <x:v>NousResearch/hermes-agent</x:v>
      </x:c>
      <x:c r="C305" s="2" t="n">
        <x:v>63530</x:v>
      </x:c>
      <x:c r="D305" s="2" t="str">
        <x:v>C06</x:v>
      </x:c>
      <x:c r="E305" s="2" t="str">
        <x:v>F02</x:v>
      </x:c>
      <x:c r="F305" s="2" t="str">
        <x:v>F02</x:v>
      </x:c>
      <x:c r="G305" s="2" t="str">
        <x:v>F02</x:v>
      </x:c>
      <x:c r="H305" s="2" t="str">
        <x:v>Execution-flow and state correction</x:v>
      </x:c>
      <x:c r="I305" s="2" t="str">
        <x:v>Implementation status pending verification</x:v>
      </x:c>
      <x:c r="J305" s="2" t="str">
        <x:v>According to the author of the thread, the fact is that there is no mention of awakening.</x:v>
      </x:c>
      <x:c r="K305" s="2" t="str">
        <x:v>Replace memory-only source records with recoverable facts that cover all paths of transmission</x:v>
      </x:c>
      <x:c r="L305" s="2" t="str">
        <x:v>The two sets of labels agree and the original decision is retained; see the original annotations for the action and its association with the root cause.</x:v>
      </x:c>
      <x:c r="M305" s="2" t="str">
        <x:v>https://github.com/NousResearch/hermes-agent/issues/63530</x:v>
      </x:c>
      <x:c r="N305" s="2" t="str">
        <x:v>F02</x:v>
      </x:c>
      <x:c r="O305" s="2" t="str">
        <x:v>Determinate from available evidence</x:v>
      </x:c>
    </x:row>
    <x:row r="306" ht="24" customHeight="1">
      <x:c r="A306" s="2" t="str">
        <x:v>R0100</x:v>
      </x:c>
      <x:c r="B306" s="2" t="str">
        <x:v>openclaw/openclaw</x:v>
      </x:c>
      <x:c r="C306" s="2" t="n">
        <x:v>90640</x:v>
      </x:c>
      <x:c r="D306" s="2" t="str">
        <x:v>C23</x:v>
      </x:c>
      <x:c r="E306" s="2" t="str">
        <x:v>F02</x:v>
      </x:c>
      <x:c r="F306" s="2" t="str">
        <x:v>F02</x:v>
      </x:c>
      <x:c r="G306" s="2" t="str">
        <x:v>F02</x:v>
      </x:c>
      <x:c r="H306" s="2" t="str">
        <x:v>Execution-flow and state correction</x:v>
      </x:c>
      <x:c r="I306" s="2" t="str">
        <x:v>Implementation status pending verification</x:v>
      </x:c>
      <x:c r="J306" s="2" t="str">
        <x:v>Added formal session compression commands and passphrase options</x:v>
      </x:c>
      <x:c r="K306" s="2" t="str">
        <x:v>Establish a true programming compression execution input to avoid the silent operation of CLI commands</x:v>
      </x:c>
      <x:c r="L306" s="2" t="str">
        <x:v>The two sets of labels agree and the original decision is retained; see the original annotations for the action and its association with the root cause.</x:v>
      </x:c>
      <x:c r="M306" s="2" t="str">
        <x:v>https://github.com/openclaw/openclaw/issues/90640</x:v>
      </x:c>
      <x:c r="N306" s="2" t="str">
        <x:v>F02</x:v>
      </x:c>
      <x:c r="O306" s="2" t="str">
        <x:v>Determinate from available evidence</x:v>
      </x:c>
    </x:row>
    <x:row r="307" ht="24" customHeight="1">
      <x:c r="A307" s="2" t="str">
        <x:v>R0062</x:v>
      </x:c>
      <x:c r="B307" s="2" t="str">
        <x:v>openclaw/openclaw</x:v>
      </x:c>
      <x:c r="C307" s="2" t="n">
        <x:v>60879</x:v>
      </x:c>
      <x:c r="D307" s="2" t="str">
        <x:v>C21</x:v>
      </x:c>
      <x:c r="E307" s="2" t="str">
        <x:v>F04</x:v>
      </x:c>
      <x:c r="F307" s="2" t="str">
        <x:v>F04</x:v>
      </x:c>
      <x:c r="G307" s="2" t="str">
        <x:v>F04</x:v>
      </x:c>
      <x:c r="H307" s="2" t="str">
        <x:v>Environment and distribution adaptation</x:v>
      </x:c>
      <x:c r="I307" s="2" t="str">
        <x:v>Recorded as implemented in the source data</x:v>
      </x:c>
      <x:c r="J307" s="2" t="str">
        <x:v>Filter version libraries and dependencies when copying Skill</x:v>
      </x:c>
      <x:c r="K307" s="2" t="str">
        <x:v>Modify the synchronous load range to prevent unrelated trees from entering sandbox</x:v>
      </x:c>
      <x:c r="L307" s="2" t="str">
        <x:v>The two sets of labels agree and the original decision is retained; see the original annotations for the action and its association with the root cause.</x:v>
      </x:c>
      <x:c r="M307" s="2" t="str">
        <x:v>https://github.com/openclaw/openclaw/issues/60879</x:v>
      </x:c>
      <x:c r="N307" s="2" t="str">
        <x:v>F04</x:v>
      </x:c>
      <x:c r="O307" s="2" t="str">
        <x:v>Determinate from available evidence</x:v>
      </x:c>
    </x:row>
    <x:row r="308" ht="24" customHeight="1">
      <x:c r="A308" s="2" t="str">
        <x:v>R0098</x:v>
      </x:c>
      <x:c r="B308" s="2" t="str">
        <x:v>openclaw/openclaw</x:v>
      </x:c>
      <x:c r="C308" s="2" t="n">
        <x:v>90578</x:v>
      </x:c>
      <x:c r="D308" s="2" t="str">
        <x:v>C20</x:v>
      </x:c>
      <x:c r="E308" s="2" t="str">
        <x:v>F02</x:v>
      </x:c>
      <x:c r="F308" s="2" t="str">
        <x:v>F02</x:v>
      </x:c>
      <x:c r="G308" s="2" t="str">
        <x:v>F02</x:v>
      </x:c>
      <x:c r="H308" s="2" t="str">
        <x:v>Execution-flow and state correction</x:v>
      </x:c>
      <x:c r="I308" s="2" t="str">
        <x:v>Recorded as implemented in the source data</x:v>
      </x:c>
      <x:c r="J308" s="2" t="str">
        <x:v>Regular mode only monitors directories and filters Skill file events</x:v>
      </x:c>
      <x:c r="K308" s="2" t="str">
        <x:v>Remove files from FD permanent and keep updates</x:v>
      </x:c>
      <x:c r="L308" s="2" t="str">
        <x:v>The two sets of labels agree and the original decision is retained; see the original annotations for the action and its association with the root cause.</x:v>
      </x:c>
      <x:c r="M308" s="2" t="str">
        <x:v>https://github.com/openclaw/openclaw/issues/90578</x:v>
      </x:c>
      <x:c r="N308" s="2" t="str">
        <x:v>F02</x:v>
      </x:c>
      <x:c r="O308" s="2" t="str">
        <x:v>Determinate from available evidence</x:v>
      </x:c>
    </x:row>
    <x:row r="309" ht="24" customHeight="1">
      <x:c r="A309" s="2" t="str">
        <x:v>R0107</x:v>
      </x:c>
      <x:c r="B309" s="2" t="str">
        <x:v>openclaw/openclaw</x:v>
      </x:c>
      <x:c r="C309" s="2" t="n">
        <x:v>99434</x:v>
      </x:c>
      <x:c r="D309" s="2" t="str">
        <x:v>C01</x:v>
      </x:c>
      <x:c r="E309" s="2" t="str">
        <x:v>F01</x:v>
      </x:c>
      <x:c r="F309" s="2" t="str">
        <x:v>F01</x:v>
      </x:c>
      <x:c r="G309" s="2" t="str">
        <x:v>F01</x:v>
      </x:c>
      <x:c r="H309" s="2" t="str">
        <x:v>Representation and usage-contract alignment</x:v>
      </x:c>
      <x:c r="I309" s="2" t="str">
        <x:v>Recorded as implemented in the source data</x:v>
      </x:c>
      <x:c r="J309" s="2" t="str">
        <x:v>Preserving the True State Root Path when setting HOME</x:v>
      </x:c>
      <x:c r="K309" s="2" t="str">
        <x:v>It's not going to be wrong Skill The position is compressed into a wave</x:v>
      </x:c>
      <x:c r="L309" s="2" t="str">
        <x:v>The two sets of labels agree and the original decision is retained; see the original annotations for the action and its association with the root cause.</x:v>
      </x:c>
      <x:c r="M309" s="2" t="str">
        <x:v>https://github.com/openclaw/openclaw/issues/99434</x:v>
      </x:c>
      <x:c r="N309" s="2" t="str">
        <x:v>F01</x:v>
      </x:c>
      <x:c r="O309" s="2" t="str">
        <x:v>Determinate from available evidence</x:v>
      </x:c>
    </x:row>
    <x:row r="310" ht="24" customHeight="1">
      <x:c r="A310" s="2" t="str">
        <x:v>R0108</x:v>
      </x:c>
      <x:c r="B310" s="2" t="str">
        <x:v>openclaw/openclaw</x:v>
      </x:c>
      <x:c r="C310" s="2" t="n">
        <x:v>100250</x:v>
      </x:c>
      <x:c r="D310" s="2" t="str">
        <x:v>C19</x:v>
      </x:c>
      <x:c r="E310" s="2" t="str">
        <x:v>F02</x:v>
      </x:c>
      <x:c r="F310" s="2" t="str">
        <x:v>F02</x:v>
      </x:c>
      <x:c r="G310" s="2" t="str">
        <x:v>F02</x:v>
      </x:c>
      <x:c r="H310" s="2" t="str">
        <x:v>Execution-flow and state correction</x:v>
      </x:c>
      <x:c r="I310" s="2" t="str">
        <x:v>Recorded as implemented in the source data</x:v>
      </x:c>
      <x:c r="J310" s="2" t="str">
        <x:v>TUI accept Skill approval to submit and resolve</x:v>
      </x:c>
      <x:c r="K310" s="2" t="str">
        <x:v>Restore the request for approval of attributes to avoid falling back into Telegram</x:v>
      </x:c>
      <x:c r="L310" s="2" t="str">
        <x:v>The two sets of labels agree and the original decision is retained; see the original annotations for the action and its association with the root cause.</x:v>
      </x:c>
      <x:c r="M310" s="2" t="str">
        <x:v>https://github.com/openclaw/openclaw/issues/100250</x:v>
      </x:c>
      <x:c r="N310" s="2" t="str">
        <x:v>F02</x:v>
      </x:c>
      <x:c r="O310" s="2" t="str">
        <x:v>Determinate from available evidence</x:v>
      </x:c>
    </x:row>
    <x:row r="311" ht="24" customHeight="1">
      <x:c r="A311" s="2" t="str">
        <x:v>R0109</x:v>
      </x:c>
      <x:c r="B311" s="2" t="str">
        <x:v>openclaw/openclaw</x:v>
      </x:c>
      <x:c r="C311" s="2" t="n">
        <x:v>102508</x:v>
      </x:c>
      <x:c r="D311" s="2" t="str">
        <x:v>C16</x:v>
      </x:c>
      <x:c r="E311" s="2" t="str">
        <x:v>F02</x:v>
      </x:c>
      <x:c r="F311" s="2" t="str">
        <x:v>F02</x:v>
      </x:c>
      <x:c r="G311" s="2" t="str">
        <x:v>F02</x:v>
      </x:c>
      <x:c r="H311" s="2" t="str">
        <x:v>Execution-flow and state correction</x:v>
      </x:c>
      <x:c r="I311" s="2" t="str">
        <x:v>Recorded as implemented in the source data</x:v>
      </x:c>
      <x:c r="J311" s="2" t="str">
        <x:v>Approval strategies when running read without explicit configuration</x:v>
      </x:c>
      <x:c r="K311" s="2" t="str">
        <x:v>Select the correct actual configuration instead of unconditional default pending</x:v>
      </x:c>
      <x:c r="L311" s="2" t="str">
        <x:v>The two sets of labels agree and the original decision is retained; see the original annotations for the action and its association with the root cause.</x:v>
      </x:c>
      <x:c r="M311" s="2" t="str">
        <x:v>https://github.com/openclaw/openclaw/issues/102508</x:v>
      </x:c>
      <x:c r="N311" s="2" t="str">
        <x:v>F02</x:v>
      </x:c>
      <x:c r="O311" s="2" t="str">
        <x:v>Determinate from available evidence</x:v>
      </x:c>
    </x:row>
    <x:row r="312" ht="35" customHeight="1">
      <x:c r="A312" s="2" t="str">
        <x:v>R0191</x:v>
      </x:c>
      <x:c r="B312" s="2" t="str">
        <x:v>NousResearch/hermes-agent</x:v>
      </x:c>
      <x:c r="C312" s="2" t="n">
        <x:v>31033</x:v>
      </x:c>
      <x:c r="D312" s="2" t="str">
        <x:v>C21</x:v>
      </x:c>
      <x:c r="E312" s="2" t="str">
        <x:v>F04</x:v>
      </x:c>
      <x:c r="F312" s="2" t="str">
        <x:v>F04</x:v>
      </x:c>
      <x:c r="G312" s="2" t="str">
        <x:v>F04</x:v>
      </x:c>
      <x:c r="H312" s="2" t="str">
        <x:v>Environment and distribution adaptation</x:v>
      </x:c>
      <x:c r="I312" s="2" t="str">
        <x:v>Recorded as implemented in the source data</x:v>
      </x:c>
      <x:c r="J312" s="2" t="str">
        <x:v>Distribution exclusion rules only at the root level</x:v>
      </x:c>
      <x:c r="K312" s="2" t="str">
        <x:v>Avoid basename filtering to get rid of the nested Skill load</x:v>
      </x:c>
      <x:c r="L312" s="2" t="str">
        <x:v>The two sets of labels agree and the original decision is retained; see the original annotations for the action and its association with the root cause.</x:v>
      </x:c>
      <x:c r="M312" s="2" t="str">
        <x:v>https://github.com/NousResearch/hermes-agent/issues/31033</x:v>
      </x:c>
      <x:c r="N312" s="2" t="str">
        <x:v>F04</x:v>
      </x:c>
      <x:c r="O312" s="2" t="str">
        <x:v>Determinate from available evidence</x:v>
      </x:c>
    </x:row>
    <x:row r="313" ht="48.5" customHeight="1">
      <x:c r="A313" s="2" t="str">
        <x:v>R0190</x:v>
      </x:c>
      <x:c r="B313" s="2" t="str">
        <x:v>NousResearch/hermes-agent</x:v>
      </x:c>
      <x:c r="C313" s="2" t="n">
        <x:v>30966</x:v>
      </x:c>
      <x:c r="D313" s="2" t="str">
        <x:v>C11</x:v>
      </x:c>
      <x:c r="E313" s="2" t="str">
        <x:v>U1</x:v>
      </x:c>
      <x:c r="F313" s="2" t="str">
        <x:v>U1</x:v>
      </x:c>
      <x:c r="G313" s="2" t="str">
        <x:v>F02</x:v>
      </x:c>
      <x:c r="H313" s="2" t="str">
        <x:v>Execution-flow and state correction</x:v>
      </x:c>
      <x:c r="I313" s="2" t="str">
        <x:v>Insufficient association evidence</x:v>
      </x:c>
      <x:c r="J313" s="2" t="str">
        <x:v>Recommended actions (presumption): Recommendations for harmonization based on shared mission database statistical activity tasks and atomic access gateway concurrency Budget.</x:v>
      </x:c>
      <x:c r="K313" s="2" t="str">
        <x:v>Summary Clear default allocation and concurrency logical adjustment, closest to task scheduling status and budget; shared database global limits are not yet fully realized.  This is an additional closest-fit assignment, not an established repair fact.</x:v>
      </x:c>
      <x:c r="L313" s="2" t="str">
        <x:v>One closest-fit strategy is selected as additionally requested.  Summary Clear default allocation and concurrency logical adjustment, closest to task scheduling status and budget; shared database global limits are not yet fully realized.  This is an additional closest-fit assignment, not an established repair fact.  The original evidence review is U1; this does not establish that a targeted repair has been verified.</x:v>
      </x:c>
      <x:c r="M313" s="2" t="str">
        <x:v>https://github.com/NousResearch/hermes-agent/issues/30966</x:v>
      </x:c>
      <x:c r="N313" s="2" t="str">
        <x:v>U1</x:v>
      </x:c>
      <x:c r="O313" s="2" t="str">
        <x:v>Closest fit to the intent described in the summary</x:v>
      </x:c>
    </x:row>
    <x:row r="314" ht="35" customHeight="1">
      <x:c r="A314" s="2" t="str">
        <x:v>R0189</x:v>
      </x:c>
      <x:c r="B314" s="2" t="str">
        <x:v>NousResearch/hermes-agent</x:v>
      </x:c>
      <x:c r="C314" s="2" t="n">
        <x:v>30904</x:v>
      </x:c>
      <x:c r="D314" s="2" t="str">
        <x:v>C12</x:v>
      </x:c>
      <x:c r="E314" s="2" t="str">
        <x:v>F03</x:v>
      </x:c>
      <x:c r="F314" s="2" t="str">
        <x:v>F03</x:v>
      </x:c>
      <x:c r="G314" s="2" t="str">
        <x:v>F03</x:v>
      </x:c>
      <x:c r="H314" s="2" t="str">
        <x:v>Validation and failure-path hardening</x:v>
      </x:c>
      <x:c r="I314" s="2" t="str">
        <x:v>Recorded as implemented in the source data</x:v>
      </x:c>
      <x:c r="J314" s="2" t="str">
        <x:v>Clearly dropping ImportError when MCP SDK is missing</x:v>
      </x:c>
      <x:c r="K314" s="2" t="str">
        <x:v>Undiagnosed NameError will be converted to controlled dependent missing error</x:v>
      </x:c>
      <x:c r="L314" s="2" t="str">
        <x:v>The two sets of labels agree and the original decision is retained; see the original annotations for the action and its association with the root cause.</x:v>
      </x:c>
      <x:c r="M314" s="2" t="str">
        <x:v>https://github.com/NousResearch/hermes-agent/issues/30904</x:v>
      </x:c>
      <x:c r="N314" s="2" t="str">
        <x:v>F03</x:v>
      </x:c>
      <x:c r="O314" s="2" t="str">
        <x:v>Determinate from available evidence</x:v>
      </x:c>
    </x:row>
    <x:row r="315" ht="48.5" customHeight="1">
      <x:c r="A315" s="2" t="str">
        <x:v>R0188</x:v>
      </x:c>
      <x:c r="B315" s="2" t="str">
        <x:v>NousResearch/hermes-agent</x:v>
      </x:c>
      <x:c r="C315" s="2" t="n">
        <x:v>30896</x:v>
      </x:c>
      <x:c r="D315" s="2" t="str">
        <x:v>C24</x:v>
      </x:c>
      <x:c r="E315" s="2" t="str">
        <x:v>U1</x:v>
      </x:c>
      <x:c r="F315" s="2" t="str">
        <x:v>U1</x:v>
      </x:c>
      <x:c r="G315" s="2" t="str">
        <x:v>F02</x:v>
      </x:c>
      <x:c r="H315" s="2" t="str">
        <x:v>Execution-flow and state correction</x:v>
      </x:c>
      <x:c r="I315" s="2" t="str">
        <x:v>Insufficient association evidence</x:v>
      </x:c>
      <x:c r="J315" s="2" t="str">
        <x:v>Recommended action: Recommended to submit a failure count at the retry before entering the atom and coordinate the trans-worker database writing.</x:v>
      </x:c>
      <x:c r="K315" s="2" t="str">
        <x:v>The abstract is called SQLite/worker stability only and requires a specific root cause recommended lifecycle written in rapid retry with concurrency and written in sequence. This is an additional closest-fit assignment, not an established repair fact.</x:v>
      </x:c>
      <x:c r="L315" s="2" t="str">
        <x:v>One closest-fit strategy is selected as additionally requested.  The abstract is called SQLite/worker stability only and requires a specific root cause recommended lifecycle written in rapid retry with concurrency and written in sequence. This is an additional closest-fit assignment, not an established repair fact.  The original evidence review is U1; this does not establish that a targeted repair has been verified.</x:v>
      </x:c>
      <x:c r="M315" s="2" t="str">
        <x:v>https://github.com/NousResearch/hermes-agent/issues/30896</x:v>
      </x:c>
      <x:c r="N315" s="2" t="str">
        <x:v>U1</x:v>
      </x:c>
      <x:c r="O315" s="2" t="str">
        <x:v>Inferred from the primary root cause</x:v>
      </x:c>
    </x:row>
    <x:row r="316" ht="35" customHeight="1">
      <x:c r="A316" s="2" t="str">
        <x:v>R0187</x:v>
      </x:c>
      <x:c r="B316" s="2" t="str">
        <x:v>NousResearch/hermes-agent</x:v>
      </x:c>
      <x:c r="C316" s="2" t="n">
        <x:v>30010</x:v>
      </x:c>
      <x:c r="D316" s="2" t="str">
        <x:v>C21</x:v>
      </x:c>
      <x:c r="E316" s="2" t="str">
        <x:v>F04</x:v>
      </x:c>
      <x:c r="F316" s="2" t="str">
        <x:v>F04</x:v>
      </x:c>
      <x:c r="G316" s="2" t="str">
        <x:v>F04</x:v>
      </x:c>
      <x:c r="H316" s="2" t="str">
        <x:v>Environment and distribution adaptation</x:v>
      </x:c>
      <x:c r="I316" s="2" t="str">
        <x:v>Recorded as implemented in the source data</x:v>
      </x:c>
      <x:c r="J316" s="2" t="str">
        <x:v>Incorporating the list of boards and front-end resources into wheel</x:v>
      </x:c>
      <x:c r="K316" s="2" t="str">
        <x:v>Restore product integrity to release, allow plugins to be found</x:v>
      </x:c>
      <x:c r="L316" s="2" t="str">
        <x:v>The two sets of labels agree and the original decision is retained; see the original annotations for the action and its association with the root cause.</x:v>
      </x:c>
      <x:c r="M316" s="2" t="str">
        <x:v>https://github.com/NousResearch/hermes-agent/issues/30010</x:v>
      </x:c>
      <x:c r="N316" s="2" t="str">
        <x:v>F04</x:v>
      </x:c>
      <x:c r="O316" s="2" t="str">
        <x:v>Determinate from available evidence</x:v>
      </x:c>
    </x:row>
    <x:row r="317" ht="48.5" customHeight="1">
      <x:c r="A317" s="2" t="str">
        <x:v>R0186</x:v>
      </x:c>
      <x:c r="B317" s="2" t="str">
        <x:v>NousResearch/hermes-agent</x:v>
      </x:c>
      <x:c r="C317" s="2" t="n">
        <x:v>29015</x:v>
      </x:c>
      <x:c r="D317" s="2" t="str">
        <x:v>C16</x:v>
      </x:c>
      <x:c r="E317" s="2" t="str">
        <x:v>U1</x:v>
      </x:c>
      <x:c r="F317" s="2" t="str">
        <x:v>U1</x:v>
      </x:c>
      <x:c r="G317" s="2" t="str">
        <x:v>F04</x:v>
      </x:c>
      <x:c r="H317" s="2" t="str">
        <x:v>Environment and distribution adaptation</x:v>
      </x:c>
      <x:c r="I317" s="2" t="str">
        <x:v>Recorded as implemented in the source data</x:v>
      </x:c>
      <x:c r="J317" s="2" t="str">
        <x:v>Recommended Action: Recommended explicitly agreeing the profile subprocess HOME with the system credentials directory. </x:v>
      </x:c>
      <x:c r="K317" s="2" t="str">
        <x:v>Summary Objectives: Clear visibility of subprocess HOME strategy and macOS keychain, closest to external CLI operating environment adaptation; specific HOME options not disclosed.  This is an additional closest-fit assignment, not an established repair fact.</x:v>
      </x:c>
      <x:c r="L317" s="2" t="str">
        <x:v>One closest-fit strategy is selected as additionally requested.  Summary Objectives: Clear visibility of subprocess HOME strategy and macOS keychain, closest to external CLI operating environment adaptation; specific HOME options not disclosed.  This is an additional closest-fit assignment, not an established repair fact.  The original evidence review is U1; this does not establish that a targeted repair has been verified.</x:v>
      </x:c>
      <x:c r="M317" s="2" t="str">
        <x:v>https://github.com/NousResearch/hermes-agent/issues/29015</x:v>
      </x:c>
      <x:c r="N317" s="2" t="str">
        <x:v>U1</x:v>
      </x:c>
      <x:c r="O317" s="2" t="str">
        <x:v>Closest fit to the intent described in the summary</x:v>
      </x:c>
    </x:row>
    <x:row r="318" ht="35" customHeight="1">
      <x:c r="A318" s="2" t="str">
        <x:v>R0184</x:v>
      </x:c>
      <x:c r="B318" s="2" t="str">
        <x:v>NousResearch/hermes-agent</x:v>
      </x:c>
      <x:c r="C318" s="2" t="n">
        <x:v>27540</x:v>
      </x:c>
      <x:c r="D318" s="2" t="str">
        <x:v>C03</x:v>
      </x:c>
      <x:c r="E318" s="2" t="str">
        <x:v>F01</x:v>
      </x:c>
      <x:c r="F318" s="2" t="str">
        <x:v>F01</x:v>
      </x:c>
      <x:c r="G318" s="2" t="str">
        <x:v>F01</x:v>
      </x:c>
      <x:c r="H318" s="2" t="str">
        <x:v>Representation and usage-contract alignment</x:v>
      </x:c>
      <x:c r="I318" s="2" t="str">
        <x:v>Recorded as implemented in the source data</x:v>
      </x:c>
      <x:c r="J318" s="2" t="str">
        <x:v>Remove repeating model keywords before constructing an agent</x:v>
      </x:c>
      <x:c r="K318" s="2" t="str">
        <x:v>Modify fallback and runtime parameters reassembly</x:v>
      </x:c>
      <x:c r="L318" s="2" t="str">
        <x:v>The two sets of labels agree and the original decision is retained; see the original annotations for the action and its association with the root cause.</x:v>
      </x:c>
      <x:c r="M318" s="2" t="str">
        <x:v>https://github.com/NousResearch/hermes-agent/issues/27540</x:v>
      </x:c>
      <x:c r="N318" s="2" t="str">
        <x:v>F01</x:v>
      </x:c>
      <x:c r="O318" s="2" t="str">
        <x:v>Determinate from available evidence</x:v>
      </x:c>
    </x:row>
    <x:row r="319" ht="35" customHeight="1">
      <x:c r="A319" s="2" t="str">
        <x:v>R0183</x:v>
      </x:c>
      <x:c r="B319" s="2" t="str">
        <x:v>NousResearch/hermes-agent</x:v>
      </x:c>
      <x:c r="C319" s="2" t="n">
        <x:v>27145</x:v>
      </x:c>
      <x:c r="D319" s="2" t="str">
        <x:v>C10</x:v>
      </x:c>
      <x:c r="E319" s="2" t="str">
        <x:v>F02</x:v>
      </x:c>
      <x:c r="F319" s="2" t="str">
        <x:v>F02</x:v>
      </x:c>
      <x:c r="G319" s="2" t="str">
        <x:v>F02</x:v>
      </x:c>
      <x:c r="H319" s="2" t="str">
        <x:v>Execution-flow and state correction</x:v>
      </x:c>
      <x:c r="I319" s="2" t="str">
        <x:v>Recorded as implemented in the source data</x:v>
      </x:c>
      <x:c r="J319" s="2" t="str">
        <x:v>Unallocated assignments for default recipients</x:v>
      </x:c>
      <x:c r="K319" s="2" t="str">
        <x:v>Jean ready Mission access workflow Cheng, profile concurrency It's with the adjustment</x:v>
      </x:c>
      <x:c r="L319" s="2" t="str">
        <x:v>The two sets of labels agree and the original decision is retained; see the original annotations for the action and its association with the root cause.</x:v>
      </x:c>
      <x:c r="M319" s="2" t="str">
        <x:v>https://github.com/NousResearch/hermes-agent/issues/27145</x:v>
      </x:c>
      <x:c r="N319" s="2" t="str">
        <x:v>F02</x:v>
      </x:c>
      <x:c r="O319" s="2" t="str">
        <x:v>Determinate from available evidence</x:v>
      </x:c>
    </x:row>
    <x:row r="320" ht="35" customHeight="1">
      <x:c r="A320" s="2" t="str">
        <x:v>R0182</x:v>
      </x:c>
      <x:c r="B320" s="2" t="str">
        <x:v>NousResearch/hermes-agent</x:v>
      </x:c>
      <x:c r="C320" s="2" t="n">
        <x:v>26352</x:v>
      </x:c>
      <x:c r="D320" s="2" t="str">
        <x:v>C15</x:v>
      </x:c>
      <x:c r="E320" s="2" t="str">
        <x:v>F03</x:v>
      </x:c>
      <x:c r="F320" s="2" t="str">
        <x:v>F03</x:v>
      </x:c>
      <x:c r="G320" s="2" t="str">
        <x:v>F03</x:v>
      </x:c>
      <x:c r="H320" s="2" t="str">
        <x:v>Validation and failure-path hardening</x:v>
      </x:c>
      <x:c r="I320" s="2" t="str">
        <x:v>Candidate change not merged</x:v>
      </x:c>
      <x:c r="J320" s="2" t="str">
        <x:v>Planning mode code level refuses to write to execute tool</x:v>
      </x:c>
      <x:c r="K320" s="2" t="str">
        <x:v>Read-only restrictions implemented with a strict lockdown</x:v>
      </x:c>
      <x:c r="L320" s="2" t="str">
        <x:v>The two sets of labels agree and the original decision is retained; see the original annotations for the action and its association with the root cause.</x:v>
      </x:c>
      <x:c r="M320" s="2" t="str">
        <x:v>https://github.com/NousResearch/hermes-agent/issues/26352</x:v>
      </x:c>
      <x:c r="N320" s="2" t="str">
        <x:v>F03</x:v>
      </x:c>
      <x:c r="O320" s="2" t="str">
        <x:v>Determinate from available evidence</x:v>
      </x:c>
    </x:row>
    <x:row r="321" ht="48.5" customHeight="1">
      <x:c r="A321" s="2" t="str">
        <x:v>R0180</x:v>
      </x:c>
      <x:c r="B321" s="2" t="str">
        <x:v>NousResearch/hermes-agent</x:v>
      </x:c>
      <x:c r="C321" s="2" t="n">
        <x:v>23402</x:v>
      </x:c>
      <x:c r="D321" s="2" t="str">
        <x:v>C17</x:v>
      </x:c>
      <x:c r="E321" s="2" t="str">
        <x:v>U1</x:v>
      </x:c>
      <x:c r="F321" s="2" t="str">
        <x:v>U1</x:v>
      </x:c>
      <x:c r="G321" s="2" t="str">
        <x:v>F04</x:v>
      </x:c>
      <x:c r="H321" s="2" t="str">
        <x:v>Environment and distribution adaptation</x:v>
      </x:c>
      <x:c r="I321" s="2" t="str">
        <x:v>Insufficient association evidence</x:v>
      </x:c>
      <x:c r="J321" s="2" t="str">
        <x:v>Recommended action: Calibrate runtime directory ownership with actual UID/GID when the recommended container is launched.</x:v>
      </x:c>
      <x:c r="K321" s="2" t="str">
        <x:v>Candidate title clearly re-mapped Docker run permission under UID, closest to deploying user and directory layout premises.  This is an additional closest-fit assignment, not an established repair fact.</x:v>
      </x:c>
      <x:c r="L321" s="2" t="str">
        <x:v>One closest-fit strategy is selected as additionally requested.  Candidate title clearly re-mapped Docker run permission under UID, closest to deploying user and directory layout premises.  This is an additional closest-fit assignment, not an established repair fact.  The original evidence review is U1; this does not establish that a targeted repair has been verified.</x:v>
      </x:c>
      <x:c r="M321" s="2" t="str">
        <x:v>https://github.com/NousResearch/hermes-agent/issues/23402</x:v>
      </x:c>
      <x:c r="N321" s="2" t="str">
        <x:v>U1</x:v>
      </x:c>
      <x:c r="O321" s="2" t="str">
        <x:v>Closest fit to the intent described in the summary</x:v>
      </x:c>
    </x:row>
    <x:row r="322" ht="35" customHeight="1">
      <x:c r="A322" s="2" t="str">
        <x:v>R0179</x:v>
      </x:c>
      <x:c r="B322" s="2" t="str">
        <x:v>NousResearch/hermes-agent</x:v>
      </x:c>
      <x:c r="C322" s="2" t="n">
        <x:v>22897</x:v>
      </x:c>
      <x:c r="D322" s="2" t="str">
        <x:v>C23</x:v>
      </x:c>
      <x:c r="E322" s="2" t="str">
        <x:v>F01</x:v>
      </x:c>
      <x:c r="F322" s="2" t="str">
        <x:v>F01</x:v>
      </x:c>
      <x:c r="G322" s="2" t="str">
        <x:v>F01</x:v>
      </x:c>
      <x:c r="H322" s="2" t="str">
        <x:v>Representation and usage-contract alignment</x:v>
      </x:c>
      <x:c r="I322" s="2" t="str">
        <x:v>Recorded as implemented in the source data</x:v>
      </x:c>
      <x:c r="J322" s="2" t="str">
        <x:v>Additional note parallel split and build card instructions</x:v>
      </x:c>
      <x:c r="K322" s="2" t="str">
        <x:v>Model planning has clear fan-out specifications to avoid merging unrelated tasks</x:v>
      </x:c>
      <x:c r="L322" s="2" t="str">
        <x:v>The two sets of labels agree and the original decision is retained; see the original annotations for the action and its association with the root cause.</x:v>
      </x:c>
      <x:c r="M322" s="2" t="str">
        <x:v>https://github.com/NousResearch/hermes-agent/issues/22897</x:v>
      </x:c>
      <x:c r="N322" s="2" t="str">
        <x:v>F01</x:v>
      </x:c>
      <x:c r="O322" s="2" t="str">
        <x:v>Determinate from available evidence</x:v>
      </x:c>
    </x:row>
    <x:row r="323" ht="48.5" customHeight="1">
      <x:c r="A323" s="2" t="str">
        <x:v>R0178</x:v>
      </x:c>
      <x:c r="B323" s="2" t="str">
        <x:v>NousResearch/hermes-agent</x:v>
      </x:c>
      <x:c r="C323" s="2" t="n">
        <x:v>22761</x:v>
      </x:c>
      <x:c r="D323" s="2" t="str">
        <x:v>C24</x:v>
      </x:c>
      <x:c r="E323" s="2" t="str">
        <x:v>U1</x:v>
      </x:c>
      <x:c r="F323" s="2" t="str">
        <x:v>U1</x:v>
      </x:c>
      <x:c r="G323" s="2" t="str">
        <x:v>F02</x:v>
      </x:c>
      <x:c r="H323" s="2" t="str">
        <x:v>Execution-flow and state correction</x:v>
      </x:c>
      <x:c r="I323" s="2" t="str">
        <x:v>Recorded as implemented in the source data</x:v>
      </x:c>
      <x:c r="J323" s="2" t="str">
        <x:v>Recommended Action: Recommended to build a cross-process repudiation of jobs.json read and write and use full submissions.</x:v>
      </x:c>
      <x:c r="K323" s="2" t="str">
        <x:v>Summary Clearly trans-process safe writing jobs.json goals, closest to applying persistent state consistency; not confirmed specific locks or atom substitution algorithms.  This is an additional closest-fit assignment, not an established repair fact.</x:v>
      </x:c>
      <x:c r="L323" s="2" t="str">
        <x:v>One closest-fit strategy is selected as additionally requested.  Summary Clearly trans-process safe writing jobs.json goals, closest to applying persistent state consistency; not confirmed specific locks or atom substitution algorithms.  This is an additional closest-fit assignment, not an established repair fact.  The original evidence review is U1; this does not establish that a targeted repair has been verified.</x:v>
      </x:c>
      <x:c r="M323" s="2" t="str">
        <x:v>https://github.com/NousResearch/hermes-agent/issues/22761</x:v>
      </x:c>
      <x:c r="N323" s="2" t="str">
        <x:v>U1</x:v>
      </x:c>
      <x:c r="O323" s="2" t="str">
        <x:v>Closest fit to the intent described in the summary</x:v>
      </x:c>
    </x:row>
    <x:row r="324" ht="35" customHeight="1">
      <x:c r="A324" s="2" t="str">
        <x:v>R0173</x:v>
      </x:c>
      <x:c r="B324" s="2" t="str">
        <x:v>NousResearch/hermes-agent</x:v>
      </x:c>
      <x:c r="C324" s="2" t="n">
        <x:v>18993</x:v>
      </x:c>
      <x:c r="D324" s="2" t="str">
        <x:v>C06</x:v>
      </x:c>
      <x:c r="E324" s="2" t="str">
        <x:v>F02</x:v>
      </x:c>
      <x:c r="F324" s="2" t="str">
        <x:v>F02</x:v>
      </x:c>
      <x:c r="G324" s="2" t="str">
        <x:v>F02</x:v>
      </x:c>
      <x:c r="H324" s="2" t="str">
        <x:v>Execution-flow and state correction</x:v>
      </x:c>
      <x:c r="I324" s="2" t="str">
        <x:v>Recorded as implemented in the source data</x:v>
      </x:c>
      <x:c r="J324" s="2" t="str">
        <x:v>Plug-in commands are executed prior to live gateways</x:v>
      </x:c>
      <x:c r="K324" s="2" t="str">
        <x:v>Processor can access the current session and plugin status again fallback worker</x:v>
      </x:c>
      <x:c r="L324" s="2" t="str">
        <x:v>The two sets of labels agree and the original decision is retained; see the original annotations for the action and its association with the root cause.</x:v>
      </x:c>
      <x:c r="M324" s="2" t="str">
        <x:v>https://github.com/NousResearch/hermes-agent/issues/18993</x:v>
      </x:c>
      <x:c r="N324" s="2" t="str">
        <x:v>F02</x:v>
      </x:c>
      <x:c r="O324" s="2" t="str">
        <x:v>Determinate from available evidence</x:v>
      </x:c>
    </x:row>
    <x:row r="325" ht="35" customHeight="1">
      <x:c r="A325" s="2" t="str">
        <x:v>R0171</x:v>
      </x:c>
      <x:c r="B325" s="2" t="str">
        <x:v>NousResearch/hermes-agent</x:v>
      </x:c>
      <x:c r="C325" s="2" t="n">
        <x:v>18373</x:v>
      </x:c>
      <x:c r="D325" s="2" t="str">
        <x:v>C21</x:v>
      </x:c>
      <x:c r="E325" s="2" t="str">
        <x:v>F02</x:v>
      </x:c>
      <x:c r="F325" s="2" t="str">
        <x:v>F02</x:v>
      </x:c>
      <x:c r="G325" s="2" t="str">
        <x:v>F02</x:v>
      </x:c>
      <x:c r="H325" s="2" t="str">
        <x:v>Execution-flow and state correction</x:v>
      </x:c>
      <x:c r="I325" s="2" t="str">
        <x:v>Recorded as implemented in the source data</x:v>
      </x:c>
      <x:c r="J325" s="2" t="str">
        <x:v>Delaying First Curating and Adding Preview Backup rollback</x:v>
      </x:c>
      <x:c r="K325" s="2" t="str">
        <x:v>Adjust the automatic trigger timing and provide a lifecycle that can be revoked</x:v>
      </x:c>
      <x:c r="L325" s="2" t="str">
        <x:v>The two sets of labels agree and the original decision is retained; see the original annotations for the action and its association with the root cause.</x:v>
      </x:c>
      <x:c r="M325" s="2" t="str">
        <x:v>https://github.com/NousResearch/hermes-agent/issues/18373</x:v>
      </x:c>
      <x:c r="N325" s="2" t="str">
        <x:v>F02</x:v>
      </x:c>
      <x:c r="O325" s="2" t="str">
        <x:v>Determinate from available evidence</x:v>
      </x:c>
    </x:row>
    <x:row r="326" ht="35" customHeight="1">
      <x:c r="A326" s="2" t="str">
        <x:v>R0170</x:v>
      </x:c>
      <x:c r="B326" s="2" t="str">
        <x:v>NousResearch/hermes-agent</x:v>
      </x:c>
      <x:c r="C326" s="2" t="n">
        <x:v>17558</x:v>
      </x:c>
      <x:c r="D326" s="2" t="str">
        <x:v>C12</x:v>
      </x:c>
      <x:c r="E326" s="2" t="str">
        <x:v>F03</x:v>
      </x:c>
      <x:c r="F326" s="2" t="str">
        <x:v>F03</x:v>
      </x:c>
      <x:c r="G326" s="2" t="str">
        <x:v>F03</x:v>
      </x:c>
      <x:c r="H326" s="2" t="str">
        <x:v>Validation and failure-path hardening</x:v>
      </x:c>
      <x:c r="I326" s="2" t="str">
        <x:v>Recorded as implemented in the source data</x:v>
      </x:c>
      <x:c r="J326" s="2" t="str">
        <x:v>fallback's most recent parent directory or temporary directory when a work directory is missing</x:v>
      </x:c>
      <x:c r="K326" s="2" t="str">
        <x:v>Make cwd anomalies fail to recover and not all orders continue ENOENT</x:v>
      </x:c>
      <x:c r="L326" s="2" t="str">
        <x:v>The two sets of labels agree and the original decision is retained; see the original annotations for the action and its association with the root cause.</x:v>
      </x:c>
      <x:c r="M326" s="2" t="str">
        <x:v>https://github.com/NousResearch/hermes-agent/issues/17558</x:v>
      </x:c>
      <x:c r="N326" s="2" t="str">
        <x:v>F03</x:v>
      </x:c>
      <x:c r="O326" s="2" t="str">
        <x:v>Determinate from available evidence</x:v>
      </x:c>
    </x:row>
    <x:row r="327" ht="35" customHeight="1">
      <x:c r="A327" s="2" t="str">
        <x:v>R0169</x:v>
      </x:c>
      <x:c r="B327" s="2" t="str">
        <x:v>NousResearch/hermes-agent</x:v>
      </x:c>
      <x:c r="C327" s="2" t="n">
        <x:v>17182</x:v>
      </x:c>
      <x:c r="D327" s="2" t="str">
        <x:v>C21</x:v>
      </x:c>
      <x:c r="E327" s="2" t="str">
        <x:v>F02</x:v>
      </x:c>
      <x:c r="F327" s="2" t="str">
        <x:v>F01</x:v>
      </x:c>
      <x:c r="G327" s="2" t="str">
        <x:v>F02</x:v>
      </x:c>
      <x:c r="H327" s="2" t="str">
        <x:v>Execution-flow and state correction</x:v>
      </x:c>
      <x:c r="I327" s="2" t="str">
        <x:v>Partial coverage</x:v>
      </x:c>
      <x:c r="J327" s="2" t="str">
        <x:v>Work directories and auxiliary models to restore work from the original configuration after migration</x:v>
      </x:c>
      <x:c r="K327" s="2" t="str">
        <x:v>The lost status of the original configuration is maintained after the reset migration and belongs to the cross-version status; coverage of only specified cwd and auxiliary, time zones etc. remains unknown.</x:v>
      </x:c>
      <x:c r="L327" s="2" t="str">
        <x:v>Calculated integrated backcheck: lost status after the original configuration resumed migration, belonging to the cross-version state remains; only explicit coverage of cwd and auxiliary, time zones etc. is still unknown.</x:v>
      </x:c>
      <x:c r="M327" s="2" t="str">
        <x:v>https://github.com/NousResearch/hermes-agent/issues/17182</x:v>
      </x:c>
      <x:c r="N327" s="2" t="str">
        <x:v>F02</x:v>
      </x:c>
      <x:c r="O327" s="2" t="str">
        <x:v>Determinate from available evidence</x:v>
      </x:c>
    </x:row>
    <x:row r="328" ht="35" customHeight="1">
      <x:c r="A328" s="2" t="str">
        <x:v>R0167</x:v>
      </x:c>
      <x:c r="B328" s="2" t="str">
        <x:v>NousResearch/hermes-agent</x:v>
      </x:c>
      <x:c r="C328" s="2" t="n">
        <x:v>16452</x:v>
      </x:c>
      <x:c r="D328" s="2" t="str">
        <x:v>C03</x:v>
      </x:c>
      <x:c r="E328" s="2" t="str">
        <x:v>F01</x:v>
      </x:c>
      <x:c r="F328" s="2" t="str">
        <x:v>F01</x:v>
      </x:c>
      <x:c r="G328" s="2" t="str">
        <x:v>F01</x:v>
      </x:c>
      <x:c r="H328" s="2" t="str">
        <x:v>Representation and usage-contract alignment</x:v>
      </x:c>
      <x:c r="I328" s="2" t="str">
        <x:v>Recorded as implemented in the source data</x:v>
      </x:c>
      <x:c r="J328" s="2" t="str">
        <x:v>Returning Skill required documentation declaration</x:v>
      </x:c>
      <x:c r="K328" s="2" t="str">
        <x:v>Get the verifier to get the metadata that actually needs to be attached to the credentials</x:v>
      </x:c>
      <x:c r="L328" s="2" t="str">
        <x:v>The two sets of labels agree and the original decision is retained; see the original annotations for the action and its association with the root cause.</x:v>
      </x:c>
      <x:c r="M328" s="2" t="str">
        <x:v>https://github.com/NousResearch/hermes-agent/issues/16452</x:v>
      </x:c>
      <x:c r="N328" s="2" t="str">
        <x:v>F01</x:v>
      </x:c>
      <x:c r="O328" s="2" t="str">
        <x:v>Determinate from available evidence</x:v>
      </x:c>
    </x:row>
    <x:row r="329" ht="35" customHeight="1">
      <x:c r="A329" s="2" t="str">
        <x:v>R0165</x:v>
      </x:c>
      <x:c r="B329" s="2" t="str">
        <x:v>NousResearch/hermes-agent</x:v>
      </x:c>
      <x:c r="C329" s="2" t="n">
        <x:v>16094</x:v>
      </x:c>
      <x:c r="D329" s="2" t="str">
        <x:v>C10</x:v>
      </x:c>
      <x:c r="E329" s="2" t="str">
        <x:v>F02</x:v>
      </x:c>
      <x:c r="F329" s="2" t="str">
        <x:v>F02</x:v>
      </x:c>
      <x:c r="G329" s="2" t="str">
        <x:v>F02</x:v>
      </x:c>
      <x:c r="H329" s="2" t="str">
        <x:v>Execution-flow and state correction</x:v>
      </x:c>
      <x:c r="I329" s="2" t="str">
        <x:v>Candidate change not merged</x:v>
      </x:c>
      <x:c r="J329" s="2" t="str">
        <x:v>Quick names distributed to built-in slash command</x:v>
      </x:c>
      <x:c r="K329" s="2" t="str">
        <x:v>Candidate Access Standards commands to execute entries to avoid sending a full string of misnames</x:v>
      </x:c>
      <x:c r="L329" s="2" t="str">
        <x:v>The two sets of labels agree and the original decision is retained; see the original annotations for the action and its association with the root cause.</x:v>
      </x:c>
      <x:c r="M329" s="2" t="str">
        <x:v>https://github.com/NousResearch/hermes-agent/issues/16094</x:v>
      </x:c>
      <x:c r="N329" s="2" t="str">
        <x:v>F02</x:v>
      </x:c>
      <x:c r="O329" s="2" t="str">
        <x:v>Determinate from available evidence</x:v>
      </x:c>
    </x:row>
    <x:row r="330" ht="48.5" customHeight="1">
      <x:c r="A330" s="2" t="str">
        <x:v>R0163</x:v>
      </x:c>
      <x:c r="B330" s="2" t="str">
        <x:v>NousResearch/hermes-agent</x:v>
      </x:c>
      <x:c r="C330" s="2" t="n">
        <x:v>14603</x:v>
      </x:c>
      <x:c r="D330" s="2" t="str">
        <x:v>C08</x:v>
      </x:c>
      <x:c r="E330" s="2" t="str">
        <x:v>U1</x:v>
      </x:c>
      <x:c r="F330" s="2" t="str">
        <x:v>U1</x:v>
      </x:c>
      <x:c r="G330" s="2" t="str">
        <x:v>F01</x:v>
      </x:c>
      <x:c r="H330" s="2" t="str">
        <x:v>Representation and usage-contract alignment</x:v>
      </x:c>
      <x:c r="I330" s="2" t="str">
        <x:v>Implementation status pending verification</x:v>
      </x:c>
      <x:c r="J330" s="2" t="str">
        <x:v>Recommended Action: Context of Active Task in Unified Compressed Summary and Restore Task Concepts, where it is clear that only the current user instruction determines the activity task</x:v>
      </x:c>
      <x:c r="K330" s="2" t="str">
        <x:v>The fixed main root cause is the semantic binding of SUMMARY_PREFIX to Active Task; the revised tip binding is more direct than the unrelated compressor clean state candidate.  Closest-fit inference only.</x:v>
      </x:c>
      <x:c r="L330" s="2" t="str">
        <x:v>One closest-fit strategy is selected as additionally requested.  The fixed main root cause is the semantic binding of SUMMARY_PREFIX to Active Task; the revised tip binding is more direct than the unrelated compressor clean state candidate.  Closest-fit inference only.  The original evidence review is U1; this does not establish that a targeted repair has been verified.</x:v>
      </x:c>
      <x:c r="M330" s="2" t="str">
        <x:v>https://github.com/NousResearch/hermes-agent/issues/14603</x:v>
      </x:c>
      <x:c r="N330" s="2" t="str">
        <x:v>U1</x:v>
      </x:c>
      <x:c r="O330" s="2" t="str">
        <x:v>Inferred from the primary root cause</x:v>
      </x:c>
    </x:row>
    <x:row r="331" ht="35" customHeight="1">
      <x:c r="A331" s="2" t="str">
        <x:v>R0158</x:v>
      </x:c>
      <x:c r="B331" s="2" t="str">
        <x:v>NousResearch/hermes-agent</x:v>
      </x:c>
      <x:c r="C331" s="2" t="n">
        <x:v>13026</x:v>
      </x:c>
      <x:c r="D331" s="2" t="str">
        <x:v>C12</x:v>
      </x:c>
      <x:c r="E331" s="2" t="str">
        <x:v>F03</x:v>
      </x:c>
      <x:c r="F331" s="2" t="str">
        <x:v>F03</x:v>
      </x:c>
      <x:c r="G331" s="2" t="str">
        <x:v>F03</x:v>
      </x:c>
      <x:c r="H331" s="2" t="str">
        <x:v>Validation and failure-path hardening</x:v>
      </x:c>
      <x:c r="I331" s="2" t="str">
        <x:v>Recorded as implemented in the source data</x:v>
      </x:c>
      <x:c r="J331" s="2" t="str">
        <x:v>Air Skill configuration protection and unit measurement</x:v>
      </x:c>
      <x:c r="K331" s="2" t="str">
        <x:v>null is no longer broken, and the scale is no longer characterized.</x:v>
      </x:c>
      <x:c r="L331" s="2" t="str">
        <x:v>The two sets of labels agree and the original decision is retained; see the original annotations for the action and its association with the root cause.</x:v>
      </x:c>
      <x:c r="M331" s="2" t="str">
        <x:v>https://github.com/NousResearch/hermes-agent/issues/13026</x:v>
      </x:c>
      <x:c r="N331" s="2" t="str">
        <x:v>F03</x:v>
      </x:c>
      <x:c r="O331" s="2" t="str">
        <x:v>Determinate from available evidence</x:v>
      </x:c>
    </x:row>
    <x:row r="332" ht="35" customHeight="1">
      <x:c r="A332" s="2" t="str">
        <x:v>R0157</x:v>
      </x:c>
      <x:c r="B332" s="2" t="str">
        <x:v>NousResearch/hermes-agent</x:v>
      </x:c>
      <x:c r="C332" s="2" t="n">
        <x:v>11200</x:v>
      </x:c>
      <x:c r="D332" s="2" t="str">
        <x:v>C13</x:v>
      </x:c>
      <x:c r="E332" s="2" t="str">
        <x:v>F03</x:v>
      </x:c>
      <x:c r="F332" s="2" t="str">
        <x:v>F03</x:v>
      </x:c>
      <x:c r="G332" s="2" t="str">
        <x:v>F03</x:v>
      </x:c>
      <x:c r="H332" s="2" t="str">
        <x:v>Validation and failure-path hardening</x:v>
      </x:c>
      <x:c r="I332" s="2" t="str">
        <x:v>Candidate change not merged</x:v>
      </x:c>
      <x:c r="J332" s="2" t="str">
        <x:v>Returning the obvious Skill load end and identifying failure</x:v>
      </x:c>
      <x:c r="K332" s="2" t="str">
        <x:v>No more using real-valued substitution strings to fake failure as success</x:v>
      </x:c>
      <x:c r="L332" s="2" t="str">
        <x:v>The two sets of labels agree and the original decision is retained; see the original annotations for the action and its association with the root cause.</x:v>
      </x:c>
      <x:c r="M332" s="2" t="str">
        <x:v>https://github.com/NousResearch/hermes-agent/issues/11200</x:v>
      </x:c>
      <x:c r="N332" s="2" t="str">
        <x:v>F03</x:v>
      </x:c>
      <x:c r="O332" s="2" t="str">
        <x:v>Determinate from available evidence</x:v>
      </x:c>
    </x:row>
    <x:row r="333" ht="48.5" customHeight="1">
      <x:c r="A333" s="2" t="str">
        <x:v>R0153</x:v>
      </x:c>
      <x:c r="B333" s="2" t="str">
        <x:v>NousResearch/hermes-agent</x:v>
      </x:c>
      <x:c r="C333" s="2" t="n">
        <x:v>8487</x:v>
      </x:c>
      <x:c r="D333" s="2" t="str">
        <x:v>C10</x:v>
      </x:c>
      <x:c r="E333" s="2" t="str">
        <x:v>U1</x:v>
      </x:c>
      <x:c r="F333" s="2" t="str">
        <x:v>U1</x:v>
      </x:c>
      <x:c r="G333" s="2" t="str">
        <x:v>F02</x:v>
      </x:c>
      <x:c r="H333" s="2" t="str">
        <x:v>Execution-flow and state correction</x:v>
      </x:c>
      <x:c r="I333" s="2" t="str">
        <x:v>Recorded as implemented in the source data</x:v>
      </x:c>
      <x:c r="J333" s="2" t="str">
        <x:v>Recommended Action: Recommended to access the response path for new references after an automatic thread has been created and retain fallback.</x:v>
      </x:c>
      <x:c r="K333" s="2" t="str">
        <x:v>Summary Clearly merge automatic threads response with response fallback themes, closest to subsequent mention of message distribution advancement.  This is an additional closest-fit assignment, not an established repair fact.</x:v>
      </x:c>
      <x:c r="L333" s="2" t="str">
        <x:v>One closest-fit strategy is selected as additionally requested.  Summary Clearly merge automatic threads response with response fallback themes, closest to subsequent mention of message distribution advancement.  This is an additional closest-fit assignment, not an established repair fact.  The original evidence review is U1; this does not establish that a targeted repair has been verified.</x:v>
      </x:c>
      <x:c r="M333" s="2" t="str">
        <x:v>https://github.com/NousResearch/hermes-agent/issues/8487</x:v>
      </x:c>
      <x:c r="N333" s="2" t="str">
        <x:v>U1</x:v>
      </x:c>
      <x:c r="O333" s="2" t="str">
        <x:v>Closest fit to the intent described in the summary</x:v>
      </x:c>
    </x:row>
    <x:row r="334" ht="35" customHeight="1">
      <x:c r="A334" s="2" t="str">
        <x:v>R0151</x:v>
      </x:c>
      <x:c r="B334" s="2" t="str">
        <x:v>NousResearch/hermes-agent</x:v>
      </x:c>
      <x:c r="C334" s="2" t="n">
        <x:v>7968</x:v>
      </x:c>
      <x:c r="D334" s="2" t="str">
        <x:v>C10</x:v>
      </x:c>
      <x:c r="E334" s="2" t="str">
        <x:v>F02</x:v>
      </x:c>
      <x:c r="F334" s="2" t="str">
        <x:v>F03</x:v>
      </x:c>
      <x:c r="G334" s="2" t="str">
        <x:v>F02</x:v>
      </x:c>
      <x:c r="H334" s="2" t="str">
        <x:v>Execution-flow and state correction</x:v>
      </x:c>
      <x:c r="I334" s="2" t="str">
        <x:v>Candidate change not merged</x:v>
      </x:c>
      <x:c r="J334" s="2" t="str">
        <x:v>The retry mechanism is to use the old content again.</x:v>
      </x:c>
      <x:c r="K334" s="2" t="str">
        <x:v>It's the same fallback Move to All retry After that, the initiative was to restore the order of execution, not to add an anomaly fallback.</x:v>
      </x:c>
      <x:c r="L334" s="2" t="str">
        <x:v>Combine and check back: same as in fallback Move to All retry After that, the initiative was to restore the order of execution, not to add an anomaly fallback.</x:v>
      </x:c>
      <x:c r="M334" s="2" t="str">
        <x:v>https://github.com/NousResearch/hermes-agent/issues/7968</x:v>
      </x:c>
      <x:c r="N334" s="2" t="str">
        <x:v>F02</x:v>
      </x:c>
      <x:c r="O334" s="2" t="str">
        <x:v>Determinate from available evidence</x:v>
      </x:c>
    </x:row>
    <x:row r="335" ht="35" customHeight="1">
      <x:c r="A335" s="2" t="str">
        <x:v>R0149</x:v>
      </x:c>
      <x:c r="B335" s="2" t="str">
        <x:v>NousResearch/hermes-agent</x:v>
      </x:c>
      <x:c r="C335" s="2" t="n">
        <x:v>7072</x:v>
      </x:c>
      <x:c r="D335" s="2" t="str">
        <x:v>C15</x:v>
      </x:c>
      <x:c r="E335" s="2" t="str">
        <x:v>F03</x:v>
      </x:c>
      <x:c r="F335" s="2" t="str">
        <x:v>F03</x:v>
      </x:c>
      <x:c r="G335" s="2" t="str">
        <x:v>F03</x:v>
      </x:c>
      <x:c r="H335" s="2" t="str">
        <x:v>Validation and failure-path hardening</x:v>
      </x:c>
      <x:c r="I335" s="2" t="str">
        <x:v>Candidate change not merged</x:v>
      </x:c>
      <x:c r="J335" s="2" t="str">
        <x:v>Security scanning increases AST analysis</x:v>
      </x:c>
      <x:c r="K335" s="2" t="str">
        <x:v>Let dynamic inputs and string combinations into analyzable syntax structures</x:v>
      </x:c>
      <x:c r="L335" s="2" t="str">
        <x:v>The two sets of labels agree and the original decision is retained; see the original annotations for the action and its association with the root cause.</x:v>
      </x:c>
      <x:c r="M335" s="2" t="str">
        <x:v>https://github.com/NousResearch/hermes-agent/issues/7072</x:v>
      </x:c>
      <x:c r="N335" s="2" t="str">
        <x:v>F03</x:v>
      </x:c>
      <x:c r="O335" s="2" t="str">
        <x:v>Determinate from available evidence</x:v>
      </x:c>
    </x:row>
    <x:row r="336" ht="35" customHeight="1">
      <x:c r="A336" s="2" t="str">
        <x:v>R0148</x:v>
      </x:c>
      <x:c r="B336" s="2" t="str">
        <x:v>NousResearch/hermes-agent</x:v>
      </x:c>
      <x:c r="C336" s="2" t="n">
        <x:v>6582</x:v>
      </x:c>
      <x:c r="D336" s="2" t="str">
        <x:v>C20</x:v>
      </x:c>
      <x:c r="E336" s="2" t="str">
        <x:v>F03</x:v>
      </x:c>
      <x:c r="F336" s="2" t="str">
        <x:v>F02</x:v>
      </x:c>
      <x:c r="G336" s="2" t="str">
        <x:v>F03</x:v>
      </x:c>
      <x:c r="H336" s="2" t="str">
        <x:v>Validation and failure-path hardening</x:v>
      </x:c>
      <x:c r="I336" s="2" t="str">
        <x:v>Candidate change not merged</x:v>
      </x:c>
      <x:c r="J336" s="2" t="str">
        <x:v>scheduled task banned the tool meeting</x:v>
      </x:c>
      <x:c r="K336" s="2" t="str">
        <x:v>The method of delegation of non-safe transmission activity signals is subject to a definitive protection ban; tracker transmission has not been corrected and candidates have not been merged.</x:v>
      </x:c>
      <x:c r="L336" s="2" t="str">
        <x:v>Calculated integrated retrievals: the method of assigning signals that cannot be safely transmitted by an activity is dependent on the certainty protection access; tracker transmission has not been corrected and candidates have not been merged.</x:v>
      </x:c>
      <x:c r="M336" s="2" t="str">
        <x:v>https://github.com/NousResearch/hermes-agent/issues/6582</x:v>
      </x:c>
      <x:c r="N336" s="2" t="str">
        <x:v>F03</x:v>
      </x:c>
      <x:c r="O336" s="2" t="str">
        <x:v>Determinate from available evidence</x:v>
      </x:c>
    </x:row>
    <x:row r="337" ht="35" customHeight="1">
      <x:c r="A337" s="2" t="str">
        <x:v>R0147</x:v>
      </x:c>
      <x:c r="B337" s="2" t="str">
        <x:v>NousResearch/hermes-agent</x:v>
      </x:c>
      <x:c r="C337" s="2" t="n">
        <x:v>6035</x:v>
      </x:c>
      <x:c r="D337" s="2" t="str">
        <x:v>C20</x:v>
      </x:c>
      <x:c r="E337" s="2" t="str">
        <x:v>F04</x:v>
      </x:c>
      <x:c r="F337" s="2" t="str">
        <x:v>F04</x:v>
      </x:c>
      <x:c r="G337" s="2" t="str">
        <x:v>F04</x:v>
      </x:c>
      <x:c r="H337" s="2" t="str">
        <x:v>Environment and distribution adaptation</x:v>
      </x:c>
      <x:c r="I337" s="2" t="str">
        <x:v>Candidate change not merged</x:v>
      </x:c>
      <x:c r="J337" s="2" t="str">
        <x:v>Remove unnecessary sandbox Skill files sync</x:v>
      </x:c>
      <x:c r="K337" s="2" t="str">
        <x:v>Reducing transportation loads and environmental initialization of waiting</x:v>
      </x:c>
      <x:c r="L337" s="2" t="str">
        <x:v>The two sets of labels agree and the original decision is retained; see the original annotations for the action and its association with the root cause.</x:v>
      </x:c>
      <x:c r="M337" s="2" t="str">
        <x:v>https://github.com/NousResearch/hermes-agent/issues/6035</x:v>
      </x:c>
      <x:c r="N337" s="2" t="str">
        <x:v>F04</x:v>
      </x:c>
      <x:c r="O337" s="2" t="str">
        <x:v>Determinate from available evidence</x:v>
      </x:c>
    </x:row>
    <x:row r="338" ht="35" customHeight="1">
      <x:c r="A338" s="2" t="str">
        <x:v>R0144</x:v>
      </x:c>
      <x:c r="B338" s="2" t="str">
        <x:v>NousResearch/hermes-agent</x:v>
      </x:c>
      <x:c r="C338" s="2" t="n">
        <x:v>5128</x:v>
      </x:c>
      <x:c r="D338" s="2" t="str">
        <x:v>C12</x:v>
      </x:c>
      <x:c r="E338" s="2" t="str">
        <x:v>F03</x:v>
      </x:c>
      <x:c r="F338" s="2" t="str">
        <x:v>F03</x:v>
      </x:c>
      <x:c r="G338" s="2" t="str">
        <x:v>F03</x:v>
      </x:c>
      <x:c r="H338" s="2" t="str">
        <x:v>Validation and failure-path hardening</x:v>
      </x:c>
      <x:c r="I338" s="2" t="str">
        <x:v>Candidate change not merged</x:v>
      </x:c>
      <x:c r="J338" s="2" t="str">
        <x:v>Instant LLM error increases withdrawal from retry</x:v>
      </x:c>
      <x:c r="K338" s="2" t="str">
        <x:v>for 429/5 xx/ timeout Provide controlled recovery, not silence</x:v>
      </x:c>
      <x:c r="L338" s="2" t="str">
        <x:v>The two sets of labels agree and the original decision is retained; see the original annotations for the action and its association with the root cause.</x:v>
      </x:c>
      <x:c r="M338" s="2" t="str">
        <x:v>https://github.com/NousResearch/hermes-agent/issues/5128</x:v>
      </x:c>
      <x:c r="N338" s="2" t="str">
        <x:v>F03</x:v>
      </x:c>
      <x:c r="O338" s="2" t="str">
        <x:v>Determinate from available evidence</x:v>
      </x:c>
    </x:row>
    <x:row r="339" ht="24" customHeight="1">
      <x:c r="A339" s="2" t="str">
        <x:v>R0115</x:v>
      </x:c>
      <x:c r="B339" s="2" t="str">
        <x:v>openclaw/openclaw</x:v>
      </x:c>
      <x:c r="C339" s="2" t="n">
        <x:v>108432</x:v>
      </x:c>
      <x:c r="D339" s="2" t="str">
        <x:v>C01</x:v>
      </x:c>
      <x:c r="E339" s="2" t="str">
        <x:v>F01</x:v>
      </x:c>
      <x:c r="F339" s="2" t="str">
        <x:v>F01</x:v>
      </x:c>
      <x:c r="G339" s="2" t="str">
        <x:v>F01</x:v>
      </x:c>
      <x:c r="H339" s="2" t="str">
        <x:v>Representation and usage-contract alignment</x:v>
      </x:c>
      <x:c r="I339" s="2" t="str">
        <x:v>Recorded as implemented in the source data</x:v>
      </x:c>
      <x:c r="J339" s="2" t="str">
        <x:v>All Skill inputs unified specification frontmatter analyzers</x:v>
      </x:c>
      <x:c r="K339" s="2" t="str">
        <x:v>Support for tail commas and eliminate entry-level contract fork</x:v>
      </x:c>
      <x:c r="L339" s="2" t="str">
        <x:v>The two sets of labels agree and the original decision is retained; see the original annotations for the action and its association with the root cause.</x:v>
      </x:c>
      <x:c r="M339" s="2" t="str">
        <x:v>https://github.com/openclaw/openclaw/issues/108432</x:v>
      </x:c>
      <x:c r="N339" s="2" t="str">
        <x:v>F01</x:v>
      </x:c>
      <x:c r="O339" s="2" t="str">
        <x:v>Determinate from available evidence</x:v>
      </x:c>
    </x:row>
    <x:row r="340" ht="35" customHeight="1">
      <x:c r="A340" s="2" t="str">
        <x:v>R0139</x:v>
      </x:c>
      <x:c r="B340" s="2" t="str">
        <x:v>NousResearch/hermes-agent</x:v>
      </x:c>
      <x:c r="C340" s="2" t="n">
        <x:v>2940</x:v>
      </x:c>
      <x:c r="D340" s="2" t="str">
        <x:v>C01</x:v>
      </x:c>
      <x:c r="E340" s="2" t="str">
        <x:v>F04</x:v>
      </x:c>
      <x:c r="F340" s="2" t="str">
        <x:v>F04</x:v>
      </x:c>
      <x:c r="G340" s="2" t="str">
        <x:v>F04</x:v>
      </x:c>
      <x:c r="H340" s="2" t="str">
        <x:v>Environment and distribution adaptation</x:v>
      </x:c>
      <x:c r="I340" s="2" t="str">
        <x:v>Recorded as implemented in the source data</x:v>
      </x:c>
      <x:c r="J340" s="2" t="str">
        <x:v>Installation file changed by Git Trees API</x:v>
      </x:c>
      <x:c r="K340" s="2" t="str">
        <x:v>Keep subdirectory content, not silently root files</x:v>
      </x:c>
      <x:c r="L340" s="2" t="str">
        <x:v>The two sets of labels agree and the original decision is retained; see the original annotations for the action and its association with the root cause.</x:v>
      </x:c>
      <x:c r="M340" s="2" t="str">
        <x:v>https://github.com/NousResearch/hermes-agent/issues/2940</x:v>
      </x:c>
      <x:c r="N340" s="2" t="str">
        <x:v>F04</x:v>
      </x:c>
      <x:c r="O340" s="2" t="str">
        <x:v>Determinate from available evidence</x:v>
      </x:c>
    </x:row>
    <x:row r="341" ht="48.5" customHeight="1">
      <x:c r="A341" s="2" t="str">
        <x:v>R0138</x:v>
      </x:c>
      <x:c r="B341" s="2" t="str">
        <x:v>NousResearch/hermes-agent</x:v>
      </x:c>
      <x:c r="C341" s="2" t="n">
        <x:v>2338</x:v>
      </x:c>
      <x:c r="D341" s="2" t="str">
        <x:v>C11</x:v>
      </x:c>
      <x:c r="E341" s="2" t="str">
        <x:v>U1</x:v>
      </x:c>
      <x:c r="F341" s="2" t="str">
        <x:v>U1</x:v>
      </x:c>
      <x:c r="G341" s="2" t="str">
        <x:v>F02</x:v>
      </x:c>
      <x:c r="H341" s="2" t="str">
        <x:v>Execution-flow and state correction</x:v>
      </x:c>
      <x:c r="I341" s="2" t="str">
        <x:v>Implementation status pending verification</x:v>
      </x:c>
      <x:c r="J341" s="2" t="str">
        <x:v>Recommended Action: Recommended to close the loop of events prior to client clearance and maintain ownership of the loop.</x:v>
      </x:c>
      <x:c r="K341" s="2" t="str">
        <x:v>The abstract only points to the clean-up crash, where root cause makes it clear that clients rely on persistent event cycles and are closest to asynchronous resource lifecycle management. This is an additional closest-fit assignment, not an established repair fact.</x:v>
      </x:c>
      <x:c r="L341" s="2" t="str">
        <x:v>One closest-fit strategy is selected as additionally requested.  The abstract only points to the clean-up crash, where root cause makes it clear that clients rely on persistent event cycles and are closest to asynchronous resource lifecycle management. This is an additional closest-fit assignment, not an established repair fact.  The original evidence review is U1; this does not establish that a targeted repair has been verified.</x:v>
      </x:c>
      <x:c r="M341" s="2" t="str">
        <x:v>https://github.com/NousResearch/hermes-agent/issues/2338</x:v>
      </x:c>
      <x:c r="N341" s="2" t="str">
        <x:v>U1</x:v>
      </x:c>
      <x:c r="O341" s="2" t="str">
        <x:v>Inferred from the primary root cause</x:v>
      </x:c>
    </x:row>
    <x:row r="342" ht="35" customHeight="1">
      <x:c r="A342" s="2" t="str">
        <x:v>R0137</x:v>
      </x:c>
      <x:c r="B342" s="2" t="str">
        <x:v>NousResearch/hermes-agent</x:v>
      </x:c>
      <x:c r="C342" s="2" t="n">
        <x:v>2066</x:v>
      </x:c>
      <x:c r="D342" s="2" t="str">
        <x:v>C23</x:v>
      </x:c>
      <x:c r="E342" s="2" t="str">
        <x:v>F01</x:v>
      </x:c>
      <x:c r="F342" s="2" t="str">
        <x:v>F01</x:v>
      </x:c>
      <x:c r="G342" s="2" t="str">
        <x:v>F01</x:v>
      </x:c>
      <x:c r="H342" s="2" t="str">
        <x:v>Representation and usage-contract alignment</x:v>
      </x:c>
      <x:c r="I342" s="2" t="str">
        <x:v>Recorded as implemented in the source data</x:v>
      </x:c>
      <x:c r="J342" s="2" t="str">
        <x:v>Document environment path unified to the installer's actual venv directory</x:v>
      </x:c>
      <x:c r="K342" s="2" t="str">
        <x:v>Modified operating instructions in accordance with installation layout</x:v>
      </x:c>
      <x:c r="L342" s="2" t="str">
        <x:v>The two sets of labels agree and the original decision is retained; see the original annotations for the action and its association with the root cause.</x:v>
      </x:c>
      <x:c r="M342" s="2" t="str">
        <x:v>https://github.com/NousResearch/hermes-agent/issues/2066</x:v>
      </x:c>
      <x:c r="N342" s="2" t="str">
        <x:v>F01</x:v>
      </x:c>
      <x:c r="O342" s="2" t="str">
        <x:v>Determinate from available evidence</x:v>
      </x:c>
    </x:row>
    <x:row r="343" ht="35" customHeight="1">
      <x:c r="A343" s="2" t="str">
        <x:v>R0135</x:v>
      </x:c>
      <x:c r="B343" s="2" t="str">
        <x:v>NousResearch/hermes-agent</x:v>
      </x:c>
      <x:c r="C343" s="2" t="n">
        <x:v>1093</x:v>
      </x:c>
      <x:c r="D343" s="2" t="str">
        <x:v>C06</x:v>
      </x:c>
      <x:c r="E343" s="2" t="str">
        <x:v>F01</x:v>
      </x:c>
      <x:c r="F343" s="2" t="str">
        <x:v>F01</x:v>
      </x:c>
      <x:c r="G343" s="2" t="str">
        <x:v>F01</x:v>
      </x:c>
      <x:c r="H343" s="2" t="str">
        <x:v>Representation and usage-contract alignment</x:v>
      </x:c>
      <x:c r="I343" s="2" t="str">
        <x:v>Candidate change not merged</x:v>
      </x:c>
      <x:c r="J343" s="2" t="str">
        <x:v>Aheadless tokens are flipped around PKCE</x:v>
      </x:c>
      <x:c r="K343" s="2" t="str">
        <x:v>Candidates to adapt the protocol process that lacks verifier in manual code exchanges</x:v>
      </x:c>
      <x:c r="L343" s="2" t="str">
        <x:v>The two sets of labels agree and the original decision is retained; see the original annotations for the action and its association with the root cause.</x:v>
      </x:c>
      <x:c r="M343" s="2" t="str">
        <x:v>https://github.com/NousResearch/hermes-agent/issues/1093</x:v>
      </x:c>
      <x:c r="N343" s="2" t="str">
        <x:v>F01</x:v>
      </x:c>
      <x:c r="O343" s="2" t="str">
        <x:v>Determinate from available evidence</x:v>
      </x:c>
    </x:row>
    <x:row r="344" ht="24" customHeight="1">
      <x:c r="A344" s="2" t="str">
        <x:v>R0134</x:v>
      </x:c>
      <x:c r="B344" s="2" t="str">
        <x:v>NousResearch/hermes-agent</x:v>
      </x:c>
      <x:c r="C344" s="2" t="n">
        <x:v>630</x:v>
      </x:c>
      <x:c r="D344" s="2" t="str">
        <x:v>C09</x:v>
      </x:c>
      <x:c r="E344" s="2" t="str">
        <x:v>F03</x:v>
      </x:c>
      <x:c r="F344" s="2" t="str">
        <x:v>F03</x:v>
      </x:c>
      <x:c r="G344" s="2" t="str">
        <x:v>F03</x:v>
      </x:c>
      <x:c r="H344" s="2" t="str">
        <x:v>Validation and failure-path hardening</x:v>
      </x:c>
      <x:c r="I344" s="2" t="str">
        <x:v>Recorded as implemented in the source data</x:v>
      </x:c>
      <x:c r="J344" s="2" t="str">
        <x:v>Unsatisfactory Skill is hidden from visible collections</x:v>
      </x:c>
      <x:c r="K344" s="2" t="str">
        <x:v>False availability is blocked with mandatory commands and environment variable access blocks before execution</x:v>
      </x:c>
      <x:c r="L344" s="2" t="str">
        <x:v>The two sets of labels agree and the original decision is retained; see the original annotations for the action and its association with the root cause.</x:v>
      </x:c>
      <x:c r="M344" s="2" t="str">
        <x:v>https://github.com/NousResearch/hermes-agent/issues/630</x:v>
      </x:c>
      <x:c r="N344" s="2" t="str">
        <x:v>F03</x:v>
      </x:c>
      <x:c r="O344" s="2" t="str">
        <x:v>Determinate from available evidence</x:v>
      </x:c>
    </x:row>
    <x:row r="345" ht="48.5" customHeight="1">
      <x:c r="A345" s="2" t="str">
        <x:v>R0132</x:v>
      </x:c>
      <x:c r="B345" s="2" t="str">
        <x:v>NousResearch/hermes-agent</x:v>
      </x:c>
      <x:c r="C345" s="2" t="n">
        <x:v>487</x:v>
      </x:c>
      <x:c r="D345" s="2" t="str">
        <x:v>C24</x:v>
      </x:c>
      <x:c r="E345" s="2" t="str">
        <x:v>U1</x:v>
      </x:c>
      <x:c r="F345" s="2" t="str">
        <x:v>U1</x:v>
      </x:c>
      <x:c r="G345" s="2" t="str">
        <x:v>F02</x:v>
      </x:c>
      <x:c r="H345" s="2" t="str">
        <x:v>Execution-flow and state correction</x:v>
      </x:c>
      <x:c r="I345" s="2" t="str">
        <x:v>Insufficient association evidence</x:v>
      </x:c>
      <x:c r="J345" s="2" t="str">
        <x:v>Recommended Action: Recommended independent audit plugins to record and link verifiable event trajectories.</x:v>
      </x:c>
      <x:c r="K345" s="2" t="str">
        <x:v>Candidate adds new secret audit trajectory plugins, closest to event recording and perpetuation; this sample is a functional proposal that cannot be proposed as defects fixed.  This is an additional closest-fit assignment, not an established repair fact.</x:v>
      </x:c>
      <x:c r="L345" s="2" t="str">
        <x:v>One closest-fit strategy is selected as additionally requested.  Candidate adds new secret audit trajectory plugins, closest to event recording and perpetuation; this sample is a functional proposal that cannot be proposed as defects fixed.  This is an additional closest-fit assignment, not an established repair fact.  The original evidence review is U1; this does not establish that a targeted repair has been verified.</x:v>
      </x:c>
      <x:c r="M345" s="2" t="str">
        <x:v>https://github.com/NousResearch/hermes-agent/issues/487</x:v>
      </x:c>
      <x:c r="N345" s="2" t="str">
        <x:v>U1</x:v>
      </x:c>
      <x:c r="O345" s="2" t="str">
        <x:v>Closest fit to the intent described in the summary</x:v>
      </x:c>
    </x:row>
    <x:row r="346" ht="24" customHeight="1">
      <x:c r="A346" s="2" t="str">
        <x:v>R0131</x:v>
      </x:c>
      <x:c r="B346" s="2" t="str">
        <x:v>NousResearch/hermes-agent</x:v>
      </x:c>
      <x:c r="C346" s="2" t="n">
        <x:v>387</x:v>
      </x:c>
      <x:c r="D346" s="2" t="str">
        <x:v>C15</x:v>
      </x:c>
      <x:c r="E346" s="2" t="str">
        <x:v>F03</x:v>
      </x:c>
      <x:c r="F346" s="2" t="str">
        <x:v>F03</x:v>
      </x:c>
      <x:c r="G346" s="2" t="str">
        <x:v>F03</x:v>
      </x:c>
      <x:c r="H346" s="2" t="str">
        <x:v>Validation and failure-path hardening</x:v>
      </x:c>
      <x:c r="I346" s="2" t="str">
        <x:v>Recorded as implemented in the source data</x:v>
      </x:c>
      <x:c r="J346" s="2" t="str">
        <x:v>The danger of prohibiting force from circumventing</x:v>
      </x:c>
      <x:c r="K346" s="2" t="str">
        <x:v>Amendment of early return conditions to make the security hard blocks consistent with the contract</x:v>
      </x:c>
      <x:c r="L346" s="2" t="str">
        <x:v>The two sets of labels agree and the original decision is retained; see the original annotations for the action and its association with the root cause.</x:v>
      </x:c>
      <x:c r="M346" s="2" t="str">
        <x:v>https://github.com/NousResearch/hermes-agent/issues/387</x:v>
      </x:c>
      <x:c r="N346" s="2" t="str">
        <x:v>F03</x:v>
      </x:c>
      <x:c r="O346" s="2" t="str">
        <x:v>Determinate from available evidence</x:v>
      </x:c>
    </x:row>
    <x:row r="347" ht="24" customHeight="1">
      <x:c r="A347" s="2" t="str">
        <x:v>R0005</x:v>
      </x:c>
      <x:c r="B347" s="2" t="str">
        <x:v>openclaw/openclaw</x:v>
      </x:c>
      <x:c r="C347" s="2" t="n">
        <x:v>7211</x:v>
      </x:c>
      <x:c r="D347" s="2" t="str">
        <x:v>C16</x:v>
      </x:c>
      <x:c r="E347" s="2" t="str">
        <x:v>F03</x:v>
      </x:c>
      <x:c r="F347" s="2" t="str">
        <x:v>F03</x:v>
      </x:c>
      <x:c r="G347" s="2" t="str">
        <x:v>F03</x:v>
      </x:c>
      <x:c r="H347" s="2" t="str">
        <x:v>Validation and failure-path hardening</x:v>
      </x:c>
      <x:c r="I347" s="2" t="str">
        <x:v>Recorded as implemented in the source data</x:v>
      </x:c>
      <x:c r="J347" s="2" t="str">
        <x:v>Allowing arbitrary model patterns to no longer misrepresent coverage</x:v>
      </x:c>
      <x:c r="K347" s="2" t="str">
        <x:v>The test respects the allowAny and not just the allowedKeys.</x:v>
      </x:c>
      <x:c r="L347" s="2" t="str">
        <x:v>The two sets of labels agree and the original decision is retained; see the original annotations for the action and its association with the root cause.</x:v>
      </x:c>
      <x:c r="M347" s="2" t="str">
        <x:v>https://github.com/openclaw/openclaw/issues/7211</x:v>
      </x:c>
      <x:c r="N347" s="2" t="str">
        <x:v>F03</x:v>
      </x:c>
      <x:c r="O347" s="2" t="str">
        <x:v>Determinate from available evidence</x:v>
      </x:c>
    </x:row>
    <x:row r="348" ht="35" customHeight="1">
      <x:c r="A348" s="2" t="str">
        <x:v>R0007</x:v>
      </x:c>
      <x:c r="B348" s="2" t="str">
        <x:v>openclaw/openclaw</x:v>
      </x:c>
      <x:c r="C348" s="2" t="n">
        <x:v>8460</x:v>
      </x:c>
      <x:c r="D348" s="2" t="str">
        <x:v>C16</x:v>
      </x:c>
      <x:c r="E348" s="2" t="str">
        <x:v>F02</x:v>
      </x:c>
      <x:c r="F348" s="2" t="str">
        <x:v>F01</x:v>
      </x:c>
      <x:c r="G348" s="2" t="str">
        <x:v>F02</x:v>
      </x:c>
      <x:c r="H348" s="2" t="str">
        <x:v>Execution-flow and state correction</x:v>
      </x:c>
      <x:c r="I348" s="2" t="str">
        <x:v>Partial coverage</x:v>
      </x:c>
      <x:c r="J348" s="2" t="str">
        <x:v>The target agent master model is pre-defaulted by subagent nationwide</x:v>
      </x:c>
      <x:c r="K348" s="2" t="str">
        <x:v>Adjust the fallback sequence from which the model has already been configured; modified and re-modified, cannot be called a permanent fix. </x:v>
      </x:c>
      <x:c r="L348" s="2" t="str">
        <x:v>Calculated integrated back-checking: adjusting the fallback sequence from which the model has already been configured; modified and re-modified after being modified, cannot be called a permanent fix of the existing configuration.</x:v>
      </x:c>
      <x:c r="M348" s="2" t="str">
        <x:v>https://github.com/openclaw/openclaw/issues/8460</x:v>
      </x:c>
      <x:c r="N348" s="2" t="str">
        <x:v>F02</x:v>
      </x:c>
      <x:c r="O348" s="2" t="str">
        <x:v>Determinate from available evidence</x:v>
      </x:c>
    </x:row>
    <x:row r="349" ht="24" customHeight="1">
      <x:c r="A349" s="2" t="str">
        <x:v>R0010</x:v>
      </x:c>
      <x:c r="B349" s="2" t="str">
        <x:v>openclaw/openclaw</x:v>
      </x:c>
      <x:c r="C349" s="2" t="n">
        <x:v>12674</x:v>
      </x:c>
      <x:c r="D349" s="2" t="str">
        <x:v>C13</x:v>
      </x:c>
      <x:c r="E349" s="2" t="str">
        <x:v>F03</x:v>
      </x:c>
      <x:c r="F349" s="2" t="str">
        <x:v>F03</x:v>
      </x:c>
      <x:c r="G349" s="2" t="str">
        <x:v>F03</x:v>
      </x:c>
      <x:c r="H349" s="2" t="str">
        <x:v>Validation and failure-path hardening</x:v>
      </x:c>
      <x:c r="I349" s="2" t="str">
        <x:v>Recorded as implemented in the source data</x:v>
      </x:c>
      <x:c r="J349" s="2" t="str">
        <x:v>Expressively allowing lists to be referenced outside of the trusted directory</x:v>
      </x:c>
      <x:c r="K349" s="2" t="str">
        <x:v>Reducing legal items on the white list was rejected by the missing</x:v>
      </x:c>
      <x:c r="L349" s="2" t="str">
        <x:v>The two sets of labels agree and the original decision is retained; see the original annotations for the action and its association with the root cause.</x:v>
      </x:c>
      <x:c r="M349" s="2" t="str">
        <x:v>https://github.com/openclaw/openclaw/issues/12674</x:v>
      </x:c>
      <x:c r="N349" s="2" t="str">
        <x:v>F03</x:v>
      </x:c>
      <x:c r="O349" s="2" t="str">
        <x:v>Determinate from available evidence</x:v>
      </x:c>
    </x:row>
    <x:row r="350" ht="24" customHeight="1">
      <x:c r="A350" s="2" t="str">
        <x:v>R0011</x:v>
      </x:c>
      <x:c r="B350" s="2" t="str">
        <x:v>openclaw/openclaw</x:v>
      </x:c>
      <x:c r="C350" s="2" t="n">
        <x:v>14324</x:v>
      </x:c>
      <x:c r="D350" s="2" t="str">
        <x:v>C10</x:v>
      </x:c>
      <x:c r="E350" s="2" t="str">
        <x:v>F03</x:v>
      </x:c>
      <x:c r="F350" s="2" t="str">
        <x:v>F03</x:v>
      </x:c>
      <x:c r="G350" s="2" t="str">
        <x:v>F03</x:v>
      </x:c>
      <x:c r="H350" s="2" t="str">
        <x:v>Validation and failure-path hardening</x:v>
      </x:c>
      <x:c r="I350" s="2" t="str">
        <x:v>Recorded as implemented in the source data</x:v>
      </x:c>
      <x:c r="J350" s="2" t="str">
        <x:v>Internal web commands authorization fixed internal providers</x:v>
      </x:c>
      <x:c r="K350" s="2" t="str">
        <x:v>No longer allowed to erroneously attribute the sender to the list through external channels</x:v>
      </x:c>
      <x:c r="L350" s="2" t="str">
        <x:v>The two sets of labels agree and the original decision is retained; see the original annotations for the action and its association with the root cause.</x:v>
      </x:c>
      <x:c r="M350" s="2" t="str">
        <x:v>https://github.com/openclaw/openclaw/issues/14324</x:v>
      </x:c>
      <x:c r="N350" s="2" t="str">
        <x:v>F03</x:v>
      </x:c>
      <x:c r="O350" s="2" t="str">
        <x:v>Determinate from available evidence</x:v>
      </x:c>
    </x:row>
    <x:row r="351" ht="24" customHeight="1">
      <x:c r="A351" s="2" t="str">
        <x:v>R0012</x:v>
      </x:c>
      <x:c r="B351" s="2" t="str">
        <x:v>openclaw/openclaw</x:v>
      </x:c>
      <x:c r="C351" s="2" t="n">
        <x:v>16927</x:v>
      </x:c>
      <x:c r="D351" s="2" t="str">
        <x:v>C10</x:v>
      </x:c>
      <x:c r="E351" s="2" t="str">
        <x:v>F02</x:v>
      </x:c>
      <x:c r="F351" s="2" t="str">
        <x:v>F02</x:v>
      </x:c>
      <x:c r="G351" s="2" t="str">
        <x:v>F02</x:v>
      </x:c>
      <x:c r="H351" s="2" t="str">
        <x:v>Execution-flow and state correction</x:v>
      </x:c>
      <x:c r="I351" s="2" t="str">
        <x:v>Partial coverage</x:v>
      </x:c>
      <x:c r="J351" s="2" t="str">
        <x:v>The results of the thread topic are directly forwarded without model notification.</x:v>
      </x:c>
      <x:c r="K351" s="2" t="str">
        <x:v>Bypassing the silent option of the receiving model to restore the output to real delivery</x:v>
      </x:c>
      <x:c r="L351" s="2" t="str">
        <x:v>The two sets of labels agree and the original decision is retained; see the original annotations for the action and its association with the root cause.</x:v>
      </x:c>
      <x:c r="M351" s="2" t="str">
        <x:v>https://github.com/openclaw/openclaw/issues/16927</x:v>
      </x:c>
      <x:c r="N351" s="2" t="str">
        <x:v>F02</x:v>
      </x:c>
      <x:c r="O351" s="2" t="str">
        <x:v>Determinate from available evidence</x:v>
      </x:c>
    </x:row>
    <x:row r="352" ht="35" customHeight="1">
      <x:c r="A352" s="2" t="str">
        <x:v>R0013</x:v>
      </x:c>
      <x:c r="B352" s="2" t="str">
        <x:v>openclaw/openclaw</x:v>
      </x:c>
      <x:c r="C352" s="2" t="n">
        <x:v>17358</x:v>
      </x:c>
      <x:c r="D352" s="2" t="str">
        <x:v>C05</x:v>
      </x:c>
      <x:c r="E352" s="2" t="str">
        <x:v>F02</x:v>
      </x:c>
      <x:c r="F352" s="2" t="str">
        <x:v>F02</x:v>
      </x:c>
      <x:c r="G352" s="2" t="str">
        <x:v>F02</x:v>
      </x:c>
      <x:c r="H352" s="2" t="str">
        <x:v>Execution-flow and state correction</x:v>
      </x:c>
      <x:c r="I352" s="2" t="str">
        <x:v>Partial coverage</x:v>
      </x:c>
      <x:c r="J352" s="2" t="str">
        <x:v>deduplication retains the first item under the Skill name before Discord registration</x:v>
      </x:c>
      <x:c r="K352" s="2" t="str">
        <x:v>Discord Press before registration skillName deduplication landing;sharing lists and Agent skills The filter itself has not been changed, save partial coverage.</x:v>
      </x:c>
      <x:c r="L352" s="2" t="str">
        <x:v>Quote and check back: Discord Press before registration skillName deduplication landing;sharing lists and Agent skills The filter itself has not been changed, save partial coverage.</x:v>
      </x:c>
      <x:c r="M352" s="2" t="str">
        <x:v>https://github.com/openclaw/openclaw/issues/17358</x:v>
      </x:c>
      <x:c r="N352" s="2" t="str">
        <x:v>F02</x:v>
      </x:c>
      <x:c r="O352" s="2" t="str">
        <x:v>Determinate from available evidence</x:v>
      </x:c>
    </x:row>
    <x:row r="353" ht="24" customHeight="1">
      <x:c r="A353" s="2" t="str">
        <x:v>R0015</x:v>
      </x:c>
      <x:c r="B353" s="2" t="str">
        <x:v>openclaw/openclaw</x:v>
      </x:c>
      <x:c r="C353" s="2" t="n">
        <x:v>19312</x:v>
      </x:c>
      <x:c r="D353" s="2" t="str">
        <x:v>C21</x:v>
      </x:c>
      <x:c r="E353" s="2" t="str">
        <x:v>F04</x:v>
      </x:c>
      <x:c r="F353" s="2" t="str">
        <x:v>F04</x:v>
      </x:c>
      <x:c r="G353" s="2" t="str">
        <x:v>F04</x:v>
      </x:c>
      <x:c r="H353" s="2" t="str">
        <x:v>Environment and distribution adaptation</x:v>
      </x:c>
      <x:c r="I353" s="2" t="str">
        <x:v>Partial coverage</x:v>
      </x:c>
      <x:c r="J353" s="2" t="str">
        <x:v>Deprivation of workspace dependence protocols and replacement of SDK at release</x:v>
      </x:c>
      <x:c r="K353" s="2" t="str">
        <x:v>Let the production add-on directory npm installation analyze the actual dependencies</x:v>
      </x:c>
      <x:c r="L353" s="2" t="str">
        <x:v>The two sets of labels agree and the original decision is retained; see the original annotations for the action and its association with the root cause.</x:v>
      </x:c>
      <x:c r="M353" s="2" t="str">
        <x:v>https://github.com/openclaw/openclaw/issues/19312</x:v>
      </x:c>
      <x:c r="N353" s="2" t="str">
        <x:v>F04</x:v>
      </x:c>
      <x:c r="O353" s="2" t="str">
        <x:v>Determinate from available evidence</x:v>
      </x:c>
    </x:row>
    <x:row r="354" ht="24" customHeight="1">
      <x:c r="A354" s="2" t="str">
        <x:v>R0016</x:v>
      </x:c>
      <x:c r="B354" s="2" t="str">
        <x:v>openclaw/openclaw</x:v>
      </x:c>
      <x:c r="C354" s="2" t="n">
        <x:v>20320</x:v>
      </x:c>
      <x:c r="D354" s="2" t="str">
        <x:v>C18</x:v>
      </x:c>
      <x:c r="E354" s="2" t="str">
        <x:v>F01</x:v>
      </x:c>
      <x:c r="F354" s="2" t="str">
        <x:v>F01</x:v>
      </x:c>
      <x:c r="G354" s="2" t="str">
        <x:v>F01</x:v>
      </x:c>
      <x:c r="H354" s="2" t="str">
        <x:v>Representation and usage-contract alignment</x:v>
      </x:c>
      <x:c r="I354" s="2" t="str">
        <x:v>Recorded as implemented in the source data</x:v>
      </x:c>
      <x:c r="J354" s="2" t="str">
        <x:v>Interpretation of specific transcripts by session</x:v>
      </x:c>
      <x:c r="K354" s="2" t="str">
        <x:v>Ignore multiple Not available storePath, and expand the template, correct the path use contract</x:v>
      </x:c>
      <x:c r="L354" s="2" t="str">
        <x:v>The two sets of labels agree and the original decision is retained; see the original annotations for the action and its association with the root cause.</x:v>
      </x:c>
      <x:c r="M354" s="2" t="str">
        <x:v>https://github.com/openclaw/openclaw/issues/20320</x:v>
      </x:c>
      <x:c r="N354" s="2" t="str">
        <x:v>F01</x:v>
      </x:c>
      <x:c r="O354" s="2" t="str">
        <x:v>Determinate from available evidence</x:v>
      </x:c>
    </x:row>
    <x:row r="355" ht="35" customHeight="1">
      <x:c r="A355" s="2" t="str">
        <x:v>R0023</x:v>
      </x:c>
      <x:c r="B355" s="2" t="str">
        <x:v>openclaw/openclaw</x:v>
      </x:c>
      <x:c r="C355" s="2" t="n">
        <x:v>27456</x:v>
      </x:c>
      <x:c r="D355" s="2" t="str">
        <x:v>C20</x:v>
      </x:c>
      <x:c r="E355" s="2" t="str">
        <x:v>F03</x:v>
      </x:c>
      <x:c r="F355" s="2" t="str">
        <x:v>F03</x:v>
      </x:c>
      <x:c r="G355" s="2" t="str">
        <x:v>F03</x:v>
      </x:c>
      <x:c r="H355" s="2" t="str">
        <x:v>Validation and failure-path hardening</x:v>
      </x:c>
      <x:c r="I355" s="2" t="str">
        <x:v>Recorded as implemented in the source data</x:v>
      </x:c>
      <x:c r="J355" s="2" t="str">
        <x:v>Delete list retry when ordering an overload error</x:v>
      </x:c>
      <x:c r="K355" s="2" t="str">
        <x:v>Identifying BOT_COMMANDS_TOO_MUCH and abbreviating retry as a proportion, has landed the main root cause without degrading the menu synchronously; no claims proves that all crash cycles disappear.</x:v>
      </x:c>
      <x:c r="L355" s="2" t="str">
        <x:v>Combining checkback after calculation: Identification BOT_COMMANDS_TOO_MUCH and reduced proportionally retry, settle the menu without downgrading root cause not claims Proves that all cycles of collapse disappear.</x:v>
      </x:c>
      <x:c r="M355" s="2" t="str">
        <x:v>https://github.com/openclaw/openclaw/issues/27456</x:v>
      </x:c>
      <x:c r="N355" s="2" t="str">
        <x:v>F03</x:v>
      </x:c>
      <x:c r="O355" s="2" t="str">
        <x:v>Determinate from available evidence</x:v>
      </x:c>
    </x:row>
    <x:row r="356" ht="24" customHeight="1">
      <x:c r="A356" s="2" t="str">
        <x:v>R0028</x:v>
      </x:c>
      <x:c r="B356" s="2" t="str">
        <x:v>openclaw/openclaw</x:v>
      </x:c>
      <x:c r="C356" s="2" t="n">
        <x:v>35248</x:v>
      </x:c>
      <x:c r="D356" s="2" t="str">
        <x:v>C11</x:v>
      </x:c>
      <x:c r="E356" s="2" t="str">
        <x:v>F03</x:v>
      </x:c>
      <x:c r="F356" s="2" t="str">
        <x:v>F03</x:v>
      </x:c>
      <x:c r="G356" s="2" t="str">
        <x:v>F03</x:v>
      </x:c>
      <x:c r="H356" s="2" t="str">
        <x:v>Validation and failure-path hardening</x:v>
      </x:c>
      <x:c r="I356" s="2" t="str">
        <x:v>Candidate change not merged</x:v>
      </x:c>
      <x:c r="J356" s="2" t="str">
        <x:v>After-party verification session and failed retry clearance</x:v>
      </x:c>
      <x:c r="K356" s="2" t="str">
        <x:v>Pre-confirmation of candidates' survival to prevent unverifiable acceptance from becoming successful</x:v>
      </x:c>
      <x:c r="L356" s="2" t="str">
        <x:v>The two sets of labels agree and the original decision is retained; see the original annotations for the action and its association with the root cause.</x:v>
      </x:c>
      <x:c r="M356" s="2" t="str">
        <x:v>https://github.com/openclaw/openclaw/issues/35248</x:v>
      </x:c>
      <x:c r="N356" s="2" t="str">
        <x:v>F03</x:v>
      </x:c>
      <x:c r="O356" s="2" t="str">
        <x:v>Determinate from available evidence</x:v>
      </x:c>
    </x:row>
    <x:row r="357" ht="35" customHeight="1">
      <x:c r="A357" s="2" t="str">
        <x:v>R0031</x:v>
      </x:c>
      <x:c r="B357" s="2" t="str">
        <x:v>openclaw/openclaw</x:v>
      </x:c>
      <x:c r="C357" s="2" t="n">
        <x:v>40845</x:v>
      </x:c>
      <x:c r="D357" s="2" t="str">
        <x:v>C13</x:v>
      </x:c>
      <x:c r="E357" s="2" t="str">
        <x:v>F02</x:v>
      </x:c>
      <x:c r="F357" s="2" t="str">
        <x:v>F03</x:v>
      </x:c>
      <x:c r="G357" s="2" t="str">
        <x:v>F02</x:v>
      </x:c>
      <x:c r="H357" s="2" t="str">
        <x:v>Execution-flow and state correction</x:v>
      </x:c>
      <x:c r="I357" s="2" t="str">
        <x:v>Partial coverage</x:v>
      </x:c>
      <x:c r="J357" s="2" t="str">
        <x:v>Failure to read frozen or recycle historical text</x:v>
      </x:c>
      <x:c r="K357" s="2" t="str">
        <x:v>Select the result source and stop freezing/re-posting history according to an existing error ending, not newly added error classification; channel redirects missing single attributions, retaining partial coverage.</x:v>
      </x:c>
      <x:c r="L357" s="2" t="str">
        <x:v>Calculated integrated retrieval: Select the result source according to an already erroneous ending and stop freezing/reset history, not newly added error classification; channel redirects missing single attributions, retaining partial coverage.</x:v>
      </x:c>
      <x:c r="M357" s="2" t="str">
        <x:v>https://github.com/openclaw/openclaw/issues/40845</x:v>
      </x:c>
      <x:c r="N357" s="2" t="str">
        <x:v>F02</x:v>
      </x:c>
      <x:c r="O357" s="2" t="str">
        <x:v>Determinate from available evidence</x:v>
      </x:c>
    </x:row>
    <x:row r="358" ht="24" customHeight="1">
      <x:c r="A358" s="2" t="str">
        <x:v>R0035</x:v>
      </x:c>
      <x:c r="B358" s="2" t="str">
        <x:v>openclaw/openclaw</x:v>
      </x:c>
      <x:c r="C358" s="2" t="n">
        <x:v>42471</x:v>
      </x:c>
      <x:c r="D358" s="2" t="str">
        <x:v>C03</x:v>
      </x:c>
      <x:c r="E358" s="2" t="str">
        <x:v>F02</x:v>
      </x:c>
      <x:c r="F358" s="2" t="str">
        <x:v>F02</x:v>
      </x:c>
      <x:c r="G358" s="2" t="str">
        <x:v>F02</x:v>
      </x:c>
      <x:c r="H358" s="2" t="str">
        <x:v>Execution-flow and state correction</x:v>
      </x:c>
      <x:c r="I358" s="2" t="str">
        <x:v>Recorded as implemented in the source data</x:v>
      </x:c>
      <x:c r="J358" s="2" t="str">
        <x:v>tool creates a meeting area with interagency derivatives</x:v>
      </x:c>
      <x:c r="K358" s="2" t="str">
        <x:v>Replace the invocation or process cwd status with the target agent work area</x:v>
      </x:c>
      <x:c r="L358" s="2" t="str">
        <x:v>The two sets of labels agree and the original decision is retained; see the original annotations for the action and its association with the root cause.</x:v>
      </x:c>
      <x:c r="M358" s="2" t="str">
        <x:v>https://github.com/openclaw/openclaw/issues/42471</x:v>
      </x:c>
      <x:c r="N358" s="2" t="str">
        <x:v>F02</x:v>
      </x:c>
      <x:c r="O358" s="2" t="str">
        <x:v>Determinate from available evidence</x:v>
      </x:c>
    </x:row>
    <x:row r="359" ht="24" customHeight="1">
      <x:c r="A359" s="2" t="str">
        <x:v>R0043</x:v>
      </x:c>
      <x:c r="B359" s="2" t="str">
        <x:v>openclaw/openclaw</x:v>
      </x:c>
      <x:c r="C359" s="2" t="n">
        <x:v>49074</x:v>
      </x:c>
      <x:c r="D359" s="2" t="str">
        <x:v>C16</x:v>
      </x:c>
      <x:c r="E359" s="2" t="str">
        <x:v>F02</x:v>
      </x:c>
      <x:c r="F359" s="2" t="str">
        <x:v>F01</x:v>
      </x:c>
      <x:c r="G359" s="2" t="str">
        <x:v>F02</x:v>
      </x:c>
      <x:c r="H359" s="2" t="str">
        <x:v>Execution-flow and state correction</x:v>
      </x:c>
      <x:c r="I359" s="2" t="str">
        <x:v>Recorded as implemented in the source data</x:v>
      </x:c>
      <x:c r="J359" s="2" t="str">
        <x:v>subagent model preference at the proxy level and at the global level</x:v>
      </x:c>
      <x:c r="K359" s="2" t="str">
        <x:v>Change the model to select fallback order and add cron devalue ratings, which are state-source preferences.</x:v>
      </x:c>
      <x:c r="L359" s="2" t="str">
        <x:v>Calculated integrated retest: Change the model to select fallback sequence and replenish cron devalue ranking, belonging to state source priority options.</x:v>
      </x:c>
      <x:c r="M359" s="2" t="str">
        <x:v>https://github.com/openclaw/openclaw/issues/49074</x:v>
      </x:c>
      <x:c r="N359" s="2" t="str">
        <x:v>F02</x:v>
      </x:c>
      <x:c r="O359" s="2" t="str">
        <x:v>Determinate from available evidence</x:v>
      </x:c>
    </x:row>
    <x:row r="360" ht="24" customHeight="1">
      <x:c r="A360" s="2" t="str">
        <x:v>R0046</x:v>
      </x:c>
      <x:c r="B360" s="2" t="str">
        <x:v>openclaw/openclaw</x:v>
      </x:c>
      <x:c r="C360" s="2" t="n">
        <x:v>52973</x:v>
      </x:c>
      <x:c r="D360" s="2" t="str">
        <x:v>C19</x:v>
      </x:c>
      <x:c r="E360" s="2" t="str">
        <x:v>F01</x:v>
      </x:c>
      <x:c r="F360" s="2" t="str">
        <x:v>F01</x:v>
      </x:c>
      <x:c r="G360" s="2" t="str">
        <x:v>F01</x:v>
      </x:c>
      <x:c r="H360" s="2" t="str">
        <x:v>Representation and usage-contract alignment</x:v>
      </x:c>
      <x:c r="I360" s="2" t="str">
        <x:v>Recorded as implemented in the source data</x:v>
      </x:c>
      <x:c r="J360" s="2" t="str">
        <x:v>Child path independent nicknames preferred to bare root nicknames</x:v>
      </x:c>
      <x:c r="K360" s="2" t="str">
        <x:v>Forward matching resolves do not include root files as a directory and supports source code renaming</x:v>
      </x:c>
      <x:c r="L360" s="2" t="str">
        <x:v>The two sets of labels agree and the original decision is retained; see the original annotations for the action and its association with the root cause.</x:v>
      </x:c>
      <x:c r="M360" s="2" t="str">
        <x:v>https://github.com/openclaw/openclaw/issues/52973</x:v>
      </x:c>
      <x:c r="N360" s="2" t="str">
        <x:v>F01</x:v>
      </x:c>
      <x:c r="O360" s="2" t="str">
        <x:v>Determinate from available evidence</x:v>
      </x:c>
    </x:row>
    <x:row r="361" ht="24" customHeight="1">
      <x:c r="A361" s="2" t="str">
        <x:v>R0047</x:v>
      </x:c>
      <x:c r="B361" s="2" t="str">
        <x:v>openclaw/openclaw</x:v>
      </x:c>
      <x:c r="C361" s="2" t="n">
        <x:v>53202</x:v>
      </x:c>
      <x:c r="D361" s="2" t="str">
        <x:v>C11</x:v>
      </x:c>
      <x:c r="E361" s="2" t="str">
        <x:v>F02</x:v>
      </x:c>
      <x:c r="F361" s="2" t="str">
        <x:v>F02</x:v>
      </x:c>
      <x:c r="G361" s="2" t="str">
        <x:v>F02</x:v>
      </x:c>
      <x:c r="H361" s="2" t="str">
        <x:v>Execution-flow and state correction</x:v>
      </x:c>
      <x:c r="I361" s="2" t="str">
        <x:v>Recorded as implemented in the source data</x:v>
      </x:c>
      <x:c r="J361" s="2" t="str">
        <x:v>Complete the notification to inject active requesting party running now</x:v>
      </x:c>
      <x:c r="K361" s="2" t="str">
        <x:v>No more line-up waiting for the father to take the weight on the driveway agent invocation</x:v>
      </x:c>
      <x:c r="L361" s="2" t="str">
        <x:v>The two sets of labels agree and the original decision is retained; see the original annotations for the action and its association with the root cause.</x:v>
      </x:c>
      <x:c r="M361" s="2" t="str">
        <x:v>https://github.com/openclaw/openclaw/issues/53202</x:v>
      </x:c>
      <x:c r="N361" s="2" t="str">
        <x:v>F02</x:v>
      </x:c>
      <x:c r="O361" s="2" t="str">
        <x:v>Determinate from available evidence</x:v>
      </x:c>
    </x:row>
    <x:row r="362" ht="24" customHeight="1">
      <x:c r="A362" s="2" t="str">
        <x:v>R0048</x:v>
      </x:c>
      <x:c r="B362" s="2" t="str">
        <x:v>openclaw/openclaw</x:v>
      </x:c>
      <x:c r="C362" s="2" t="n">
        <x:v>53424</x:v>
      </x:c>
      <x:c r="D362" s="2" t="str">
        <x:v>C21</x:v>
      </x:c>
      <x:c r="E362" s="2" t="str">
        <x:v>F04</x:v>
      </x:c>
      <x:c r="F362" s="2" t="str">
        <x:v>F04</x:v>
      </x:c>
      <x:c r="G362" s="2" t="str">
        <x:v>F04</x:v>
      </x:c>
      <x:c r="H362" s="2" t="str">
        <x:v>Environment and distribution adaptation</x:v>
      </x:c>
      <x:c r="I362" s="2" t="str">
        <x:v>Recorded as implemented in the source data</x:v>
      </x:c>
      <x:c r="J362" s="2" t="str">
        <x:v>A bundled plugin has been released for compulsory building of replicated and validated products</x:v>
      </x:c>
      <x:c r="K362" s="2" t="str">
        <x:v>Modified selectable cluster filtering to make npm packages lacking entry-side files</x:v>
      </x:c>
      <x:c r="L362" s="2" t="str">
        <x:v>The two sets of labels agree and the original decision is retained; see the original annotations for the action and its association with the root cause.</x:v>
      </x:c>
      <x:c r="M362" s="2" t="str">
        <x:v>https://github.com/openclaw/openclaw/issues/53424</x:v>
      </x:c>
      <x:c r="N362" s="2" t="str">
        <x:v>F04</x:v>
      </x:c>
      <x:c r="O362" s="2" t="str">
        <x:v>Determinate from available evidence</x:v>
      </x:c>
    </x:row>
    <x:row r="363" ht="24" customHeight="1">
      <x:c r="A363" s="2" t="str">
        <x:v>R0049</x:v>
      </x:c>
      <x:c r="B363" s="2" t="str">
        <x:v>openclaw/openclaw</x:v>
      </x:c>
      <x:c r="C363" s="2" t="n">
        <x:v>53497</x:v>
      </x:c>
      <x:c r="D363" s="2" t="str">
        <x:v>C19</x:v>
      </x:c>
      <x:c r="E363" s="2" t="str">
        <x:v>F01</x:v>
      </x:c>
      <x:c r="F363" s="2" t="str">
        <x:v>F01</x:v>
      </x:c>
      <x:c r="G363" s="2" t="str">
        <x:v>F01</x:v>
      </x:c>
      <x:c r="H363" s="2" t="str">
        <x:v>Representation and usage-contract alignment</x:v>
      </x:c>
      <x:c r="I363" s="2" t="str">
        <x:v>Recorded as implemented in the source data</x:v>
      </x:c>
      <x:c r="J363" s="2" t="str">
        <x:v>Compatible root port to restore old assistant output</x:v>
      </x:c>
      <x:c r="K363" s="2" t="str">
        <x:v>Make old plugins available invocation API And keep the focus sub-paths for the new protocol</x:v>
      </x:c>
      <x:c r="L363" s="2" t="str">
        <x:v>The two sets of labels agree and the original decision is retained; see the original annotations for the action and its association with the root cause.</x:v>
      </x:c>
      <x:c r="M363" s="2" t="str">
        <x:v>https://github.com/openclaw/openclaw/issues/53497</x:v>
      </x:c>
      <x:c r="N363" s="2" t="str">
        <x:v>F01</x:v>
      </x:c>
      <x:c r="O363" s="2" t="str">
        <x:v>Determinate from available evidence</x:v>
      </x:c>
    </x:row>
    <x:row r="364" ht="24" customHeight="1">
      <x:c r="A364" s="2" t="str">
        <x:v>R0050</x:v>
      </x:c>
      <x:c r="B364" s="2" t="str">
        <x:v>openclaw/openclaw</x:v>
      </x:c>
      <x:c r="C364" s="2" t="n">
        <x:v>54428</x:v>
      </x:c>
      <x:c r="D364" s="2" t="str">
        <x:v>C17</x:v>
      </x:c>
      <x:c r="E364" s="2" t="str">
        <x:v>F04</x:v>
      </x:c>
      <x:c r="F364" s="2" t="str">
        <x:v>F04</x:v>
      </x:c>
      <x:c r="G364" s="2" t="str">
        <x:v>F04</x:v>
      </x:c>
      <x:c r="H364" s="2" t="str">
        <x:v>Environment and distribution adaptation</x:v>
      </x:c>
      <x:c r="I364" s="2" t="str">
        <x:v>Recorded as implemented in the source data</x:v>
      </x:c>
      <x:c r="J364" s="2" t="str">
        <x:v>Link to the host's peer declaration plugins after installation</x:v>
      </x:c>
      <x:c r="K364" s="2" t="str">
        <x:v>Host dependency to satisfy production module analysis missing</x:v>
      </x:c>
      <x:c r="L364" s="2" t="str">
        <x:v>The two sets of labels agree and the original decision is retained; see the original annotations for the action and its association with the root cause.</x:v>
      </x:c>
      <x:c r="M364" s="2" t="str">
        <x:v>https://github.com/openclaw/openclaw/issues/54428</x:v>
      </x:c>
      <x:c r="N364" s="2" t="str">
        <x:v>F04</x:v>
      </x:c>
      <x:c r="O364" s="2" t="str">
        <x:v>Determinate from available evidence</x:v>
      </x:c>
    </x:row>
    <x:row r="365" ht="24" customHeight="1">
      <x:c r="A365" s="2" t="str">
        <x:v>R0051</x:v>
      </x:c>
      <x:c r="B365" s="2" t="str">
        <x:v>openclaw/openclaw</x:v>
      </x:c>
      <x:c r="C365" s="2" t="n">
        <x:v>54629</x:v>
      </x:c>
      <x:c r="D365" s="2" t="str">
        <x:v>C13</x:v>
      </x:c>
      <x:c r="E365" s="2" t="str">
        <x:v>F02</x:v>
      </x:c>
      <x:c r="F365" s="2" t="str">
        <x:v>F02</x:v>
      </x:c>
      <x:c r="G365" s="2" t="str">
        <x:v>F02</x:v>
      </x:c>
      <x:c r="H365" s="2" t="str">
        <x:v>Execution-flow and state correction</x:v>
      </x:c>
      <x:c r="I365" s="2" t="str">
        <x:v>Recorded as implemented in the source data</x:v>
      </x:c>
      <x:c r="J365" s="2" t="str">
        <x:v>Live status commands directly respond to interactions after the card is generated</x:v>
      </x:c>
      <x:c r="K365" s="2" t="str">
        <x:v>Bypassing the general distribution of unavailable response</x:v>
      </x:c>
      <x:c r="L365" s="2" t="str">
        <x:v>The two sets of labels agree and the original decision is retained; see the original annotations for the action and its association with the root cause.</x:v>
      </x:c>
      <x:c r="M365" s="2" t="str">
        <x:v>https://github.com/openclaw/openclaw/issues/54629</x:v>
      </x:c>
      <x:c r="N365" s="2" t="str">
        <x:v>F02</x:v>
      </x:c>
      <x:c r="O365" s="2" t="str">
        <x:v>Determinate from available evidence</x:v>
      </x:c>
    </x:row>
    <x:row r="366" ht="24" customHeight="1">
      <x:c r="A366" s="2" t="str">
        <x:v>R0052</x:v>
      </x:c>
      <x:c r="B366" s="2" t="str">
        <x:v>openclaw/openclaw</x:v>
      </x:c>
      <x:c r="C366" s="2" t="n">
        <x:v>54763</x:v>
      </x:c>
      <x:c r="D366" s="2" t="str">
        <x:v>C02</x:v>
      </x:c>
      <x:c r="E366" s="2" t="str">
        <x:v>F01</x:v>
      </x:c>
      <x:c r="F366" s="2" t="str">
        <x:v>F01</x:v>
      </x:c>
      <x:c r="G366" s="2" t="str">
        <x:v>F01</x:v>
      </x:c>
      <x:c r="H366" s="2" t="str">
        <x:v>Representation and usage-contract alignment</x:v>
      </x:c>
      <x:c r="I366" s="2" t="str">
        <x:v>Recorded as implemented in the source data</x:v>
      </x:c>
      <x:c r="J366" s="2" t="str">
        <x:v>components and blocks for schema messages are available</x:v>
      </x:c>
      <x:c r="K366" s="2" t="str">
        <x:v>Restore the parameters of each action without providing a demonstration component</x:v>
      </x:c>
      <x:c r="L366" s="2" t="str">
        <x:v>The two sets of labels agree and the original decision is retained; see the original annotations for the action and its association with the root cause.</x:v>
      </x:c>
      <x:c r="M366" s="2" t="str">
        <x:v>https://github.com/openclaw/openclaw/issues/54763</x:v>
      </x:c>
      <x:c r="N366" s="2" t="str">
        <x:v>F01</x:v>
      </x:c>
      <x:c r="O366" s="2" t="str">
        <x:v>Determinate from available evidence</x:v>
      </x:c>
    </x:row>
    <x:row r="367" ht="24" customHeight="1">
      <x:c r="A367" s="2" t="str">
        <x:v>R0053</x:v>
      </x:c>
      <x:c r="B367" s="2" t="str">
        <x:v>openclaw/openclaw</x:v>
      </x:c>
      <x:c r="C367" s="2" t="n">
        <x:v>54878</x:v>
      </x:c>
      <x:c r="D367" s="2" t="str">
        <x:v>C15</x:v>
      </x:c>
      <x:c r="E367" s="2" t="str">
        <x:v>F03</x:v>
      </x:c>
      <x:c r="F367" s="2" t="str">
        <x:v>F03</x:v>
      </x:c>
      <x:c r="G367" s="2" t="str">
        <x:v>F03</x:v>
      </x:c>
      <x:c r="H367" s="2" t="str">
        <x:v>Validation and failure-path hardening</x:v>
      </x:c>
      <x:c r="I367" s="2" t="str">
        <x:v>Recorded as implemented in the source data</x:v>
      </x:c>
      <x:c r="J367" s="2" t="str">
        <x:v>Visuality of the meeting first by derivative ownership</x:v>
      </x:c>
      <x:c r="K367" s="2" t="str">
        <x:v>Avoid the ACP back end agentId leading to legitimate tree access being denied by the permission</x:v>
      </x:c>
      <x:c r="L367" s="2" t="str">
        <x:v>The two sets of labels agree and the original decision is retained; see the original annotations for the action and its association with the root cause.</x:v>
      </x:c>
      <x:c r="M367" s="2" t="str">
        <x:v>https://github.com/openclaw/openclaw/issues/54878</x:v>
      </x:c>
      <x:c r="N367" s="2" t="str">
        <x:v>F03</x:v>
      </x:c>
      <x:c r="O367" s="2" t="str">
        <x:v>Determinate from available evidence</x:v>
      </x:c>
    </x:row>
    <x:row r="368" ht="24" customHeight="1">
      <x:c r="A368" s="2" t="str">
        <x:v>R0055</x:v>
      </x:c>
      <x:c r="B368" s="2" t="str">
        <x:v>openclaw/openclaw</x:v>
      </x:c>
      <x:c r="C368" s="2" t="n">
        <x:v>56161</x:v>
      </x:c>
      <x:c r="D368" s="2" t="str">
        <x:v>C16</x:v>
      </x:c>
      <x:c r="E368" s="2" t="str">
        <x:v>F02</x:v>
      </x:c>
      <x:c r="F368" s="2" t="str">
        <x:v>F02</x:v>
      </x:c>
      <x:c r="G368" s="2" t="str">
        <x:v>F02</x:v>
      </x:c>
      <x:c r="H368" s="2" t="str">
        <x:v>Execution-flow and state correction</x:v>
      </x:c>
      <x:c r="I368" s="2" t="str">
        <x:v>Recorded as implemented in the source data</x:v>
      </x:c>
      <x:c r="J368" s="2" t="str">
        <x:v>Skill CLI Select fields by visible proxy and current workspace</x:v>
      </x:c>
      <x:c r="K368" s="2" t="str">
        <x:v>Sub-commands use real activity proxy status instead of fixed main</x:v>
      </x:c>
      <x:c r="L368" s="2" t="str">
        <x:v>The two sets of labels agree and the original decision is retained; see the original annotations for the action and its association with the root cause.</x:v>
      </x:c>
      <x:c r="M368" s="2" t="str">
        <x:v>https://github.com/openclaw/openclaw/issues/56161</x:v>
      </x:c>
      <x:c r="N368" s="2" t="str">
        <x:v>F02</x:v>
      </x:c>
      <x:c r="O368" s="2" t="str">
        <x:v>Determinate from available evidence</x:v>
      </x:c>
    </x:row>
    <x:row r="369" ht="24" customHeight="1">
      <x:c r="A369" s="2" t="str">
        <x:v>R0058</x:v>
      </x:c>
      <x:c r="B369" s="2" t="str">
        <x:v>openclaw/openclaw</x:v>
      </x:c>
      <x:c r="C369" s="2" t="n">
        <x:v>58115</x:v>
      </x:c>
      <x:c r="D369" s="2" t="str">
        <x:v>C11</x:v>
      </x:c>
      <x:c r="E369" s="2" t="str">
        <x:v>F02</x:v>
      </x:c>
      <x:c r="F369" s="2" t="str">
        <x:v>F02</x:v>
      </x:c>
      <x:c r="G369" s="2" t="str">
        <x:v>F02</x:v>
      </x:c>
      <x:c r="H369" s="2" t="str">
        <x:v>Execution-flow and state correction</x:v>
      </x:c>
      <x:c r="I369" s="2" t="str">
        <x:v>Recorded as implemented in the source data</x:v>
      </x:c>
      <x:c r="J369" s="2" t="str">
        <x:v>Commitment to Stop Creating when running cross-context Sharing</x:v>
      </x:c>
      <x:c r="K369" s="2" t="str">
        <x:v>Avoid closing all built-in listening ports, correctly reuse and stop rebuilding in sequence</x:v>
      </x:c>
      <x:c r="L369" s="2" t="str">
        <x:v>The two sets of labels agree and the original decision is retained; see the original annotations for the action and its association with the root cause.</x:v>
      </x:c>
      <x:c r="M369" s="2" t="str">
        <x:v>https://github.com/openclaw/openclaw/issues/58115</x:v>
      </x:c>
      <x:c r="N369" s="2" t="str">
        <x:v>F02</x:v>
      </x:c>
      <x:c r="O369" s="2" t="str">
        <x:v>Determinate from available evidence</x:v>
      </x:c>
    </x:row>
    <x:row r="370" ht="48.5" customHeight="1">
      <x:c r="A370" s="2" t="str">
        <x:v>R0064</x:v>
      </x:c>
      <x:c r="B370" s="2" t="str">
        <x:v>openclaw/openclaw</x:v>
      </x:c>
      <x:c r="C370" s="2" t="n">
        <x:v>62558</x:v>
      </x:c>
      <x:c r="D370" s="2" t="str">
        <x:v>C10</x:v>
      </x:c>
      <x:c r="E370" s="2" t="str">
        <x:v>U1</x:v>
      </x:c>
      <x:c r="F370" s="2" t="str">
        <x:v>U1</x:v>
      </x:c>
      <x:c r="G370" s="2" t="str">
        <x:v>F02</x:v>
      </x:c>
      <x:c r="H370" s="2" t="str">
        <x:v>Execution-flow and state correction</x:v>
      </x:c>
      <x:c r="I370" s="2" t="str">
        <x:v>Workaround only or existing behavior</x:v>
      </x:c>
      <x:c r="J370" s="2" t="str">
        <x:v>Recommended Action: Recommended to verify the full path of QQ text commands from enlistment to frame processing and response delivery.</x:v>
      </x:c>
      <x:c r="K370" s="2" t="str">
        <x:v>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x:v>
      </x:c>
      <x:c r="L370" s="2" t="str">
        <x:v>One closest-fit strategy is selected as additionally requested.  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  The original evidence review is U1; this does not establish that a targeted repair has been verified.</x:v>
      </x:c>
      <x:c r="M370" s="2" t="str">
        <x:v>https://github.com/openclaw/openclaw/issues/62558</x:v>
      </x:c>
      <x:c r="N370" s="2" t="str">
        <x:v>U1</x:v>
      </x:c>
      <x:c r="O370" s="2" t="str">
        <x:v>Closest fit to the intent described in the summary</x:v>
      </x:c>
    </x:row>
    <x:row r="371" ht="24" customHeight="1">
      <x:c r="A371" s="2" t="str">
        <x:v>R0067</x:v>
      </x:c>
      <x:c r="B371" s="2" t="str">
        <x:v>openclaw/openclaw</x:v>
      </x:c>
      <x:c r="C371" s="2" t="n">
        <x:v>64921</x:v>
      </x:c>
      <x:c r="D371" s="2" t="str">
        <x:v>C09</x:v>
      </x:c>
      <x:c r="E371" s="2" t="str">
        <x:v>F01</x:v>
      </x:c>
      <x:c r="F371" s="2" t="str">
        <x:v>F01</x:v>
      </x:c>
      <x:c r="G371" s="2" t="str">
        <x:v>F01</x:v>
      </x:c>
      <x:c r="H371" s="2" t="str">
        <x:v>Representation and usage-contract alignment</x:v>
      </x:c>
      <x:c r="I371" s="2" t="str">
        <x:v>Recorded as implemented in the source data</x:v>
      </x:c>
      <x:c r="J371" s="2" t="str">
        <x:v>Running registry converted to static ES input</x:v>
      </x:c>
      <x:c r="K371" s="2" t="str">
        <x:v>Fixed filename guesses when executing hash file alternatives by packer</x:v>
      </x:c>
      <x:c r="L371" s="2" t="str">
        <x:v>The two sets of labels agree and the original decision is retained; see the original annotations for the action and its association with the root cause.</x:v>
      </x:c>
      <x:c r="M371" s="2" t="str">
        <x:v>https://github.com/openclaw/openclaw/issues/64921</x:v>
      </x:c>
      <x:c r="N371" s="2" t="str">
        <x:v>F01</x:v>
      </x:c>
      <x:c r="O371" s="2" t="str">
        <x:v>Determinate from available evidence</x:v>
      </x:c>
    </x:row>
    <x:row r="372" ht="24" customHeight="1">
      <x:c r="A372" s="2" t="str">
        <x:v>R0068</x:v>
      </x:c>
      <x:c r="B372" s="2" t="str">
        <x:v>openclaw/openclaw</x:v>
      </x:c>
      <x:c r="C372" s="2" t="n">
        <x:v>65122</x:v>
      </x:c>
      <x:c r="D372" s="2" t="str">
        <x:v>C16</x:v>
      </x:c>
      <x:c r="E372" s="2" t="str">
        <x:v>F01</x:v>
      </x:c>
      <x:c r="F372" s="2" t="str">
        <x:v>F01</x:v>
      </x:c>
      <x:c r="G372" s="2" t="str">
        <x:v>F01</x:v>
      </x:c>
      <x:c r="H372" s="2" t="str">
        <x:v>Representation and usage-contract alignment</x:v>
      </x:c>
      <x:c r="I372" s="2" t="str">
        <x:v>Partial coverage</x:v>
      </x:c>
      <x:c r="J372" s="2" t="str">
        <x:v>Added and transferred health detection target configuration</x:v>
      </x:c>
      <x:c r="K372" s="2" t="str">
        <x:v>Detecting codex using actual ACP agent rather than uncovered</x:v>
      </x:c>
      <x:c r="L372" s="2" t="str">
        <x:v>The two sets of labels agree and the original decision is retained; see the original annotations for the action and its association with the root cause.</x:v>
      </x:c>
      <x:c r="M372" s="2" t="str">
        <x:v>https://github.com/openclaw/openclaw/issues/65122</x:v>
      </x:c>
      <x:c r="N372" s="2" t="str">
        <x:v>F01</x:v>
      </x:c>
      <x:c r="O372" s="2" t="str">
        <x:v>Determinate from available evidence</x:v>
      </x:c>
    </x:row>
    <x:row r="373" ht="35" customHeight="1">
      <x:c r="A373" s="2" t="str">
        <x:v>R0069</x:v>
      </x:c>
      <x:c r="B373" s="2" t="str">
        <x:v>openclaw/openclaw</x:v>
      </x:c>
      <x:c r="C373" s="2" t="n">
        <x:v>65183</x:v>
      </x:c>
      <x:c r="D373" s="2" t="str">
        <x:v>C19</x:v>
      </x:c>
      <x:c r="E373" s="2" t="str">
        <x:v>F02</x:v>
      </x:c>
      <x:c r="F373" s="2" t="str">
        <x:v>F01</x:v>
      </x:c>
      <x:c r="G373" s="2" t="str">
        <x:v>F02</x:v>
      </x:c>
      <x:c r="H373" s="2" t="str">
        <x:v>Execution-flow and state correction</x:v>
      </x:c>
      <x:c r="I373" s="2" t="str">
        <x:v>Recorded as implemented in the source data</x:v>
      </x:c>
      <x:c r="J373" s="2" t="str">
        <x:v>Plug-ins synchronize registration and move key resolution to the request period</x:v>
      </x:c>
      <x:c r="K373" s="2" t="str">
        <x:v>Regular registration of synchronization, key analysis extended to request period, rebuild load timing; promise refused and rollback provided support protection.</x:v>
      </x:c>
      <x:c r="L373" s="2" t="str">
        <x:v>After computation, integrated backchecks: normal registration synchronization; key analysis delayed to the request period, rebuild load timing; promise refused and rollback as support protection.</x:v>
      </x:c>
      <x:c r="M373" s="2" t="str">
        <x:v>https://github.com/openclaw/openclaw/issues/65183</x:v>
      </x:c>
      <x:c r="N373" s="2" t="str">
        <x:v>F02</x:v>
      </x:c>
      <x:c r="O373" s="2" t="str">
        <x:v>Determinate from available evidence</x:v>
      </x:c>
    </x:row>
    <x:row r="374" ht="48.5" customHeight="1">
      <x:c r="A374" s="2" t="str">
        <x:v>R0070</x:v>
      </x:c>
      <x:c r="B374" s="2" t="str">
        <x:v>openclaw/openclaw</x:v>
      </x:c>
      <x:c r="C374" s="2" t="n">
        <x:v>65954</x:v>
      </x:c>
      <x:c r="D374" s="2" t="str">
        <x:v>C24</x:v>
      </x:c>
      <x:c r="E374" s="2" t="str">
        <x:v>F02</x:v>
      </x:c>
      <x:c r="F374" s="2" t="str">
        <x:v>F02</x:v>
      </x:c>
      <x:c r="G374" s="2" t="str">
        <x:v>F02</x:v>
      </x:c>
      <x:c r="H374" s="2" t="str">
        <x:v>Execution-flow and state correction</x:v>
      </x:c>
      <x:c r="I374" s="2" t="str">
        <x:v>Insufficient association evidence</x:v>
      </x:c>
      <x:c r="J374" s="2" t="str">
        <x:v>Recommended action: Recommended to successfully transcribe the CLI authorization round and complete the notification according to the product.</x:v>
      </x:c>
      <x:c r="K374" s="2" t="str">
        <x:v>Possible correction to specify perpetuated CLI transcript rounds, closest to the conservation and subsequent capture of the result produced.  This is an additional closest-fit assignment, not an established repair fact.</x:v>
      </x:c>
      <x:c r="L374" s="2" t="str">
        <x:v>One closest-fit strategy is selected as additionally requested.  Possible correction to specify perpetuated CLI transcript rounds, closest to the conservation and subsequent capture of the result produced.  This is an additional closest-fit assignment, not an established repair fact.  The original evidence review is U1; this does not establish that a targeted repair has been verified.</x:v>
      </x:c>
      <x:c r="M374" s="2" t="str">
        <x:v>https://github.com/openclaw/openclaw/issues/65954</x:v>
      </x:c>
      <x:c r="N374" s="2" t="str">
        <x:v>U1</x:v>
      </x:c>
      <x:c r="O374" s="2" t="str">
        <x:v>Closest fit to the intent described in the summary</x:v>
      </x:c>
    </x:row>
    <x:row r="375" ht="24" customHeight="1">
      <x:c r="A375" s="2" t="str">
        <x:v>R0071</x:v>
      </x:c>
      <x:c r="B375" s="2" t="str">
        <x:v>openclaw/openclaw</x:v>
      </x:c>
      <x:c r="C375" s="2" t="n">
        <x:v>66581</x:v>
      </x:c>
      <x:c r="D375" s="2" t="str">
        <x:v>C03</x:v>
      </x:c>
      <x:c r="E375" s="2" t="str">
        <x:v>F01</x:v>
      </x:c>
      <x:c r="F375" s="2" t="str">
        <x:v>F01</x:v>
      </x:c>
      <x:c r="G375" s="2" t="str">
        <x:v>F01</x:v>
      </x:c>
      <x:c r="H375" s="2" t="str">
        <x:v>Representation and usage-contract alignment</x:v>
      </x:c>
      <x:c r="I375" s="2" t="str">
        <x:v>Recorded as implemented in the source data</x:v>
      </x:c>
      <x:c r="J375" s="2" t="str">
        <x:v>Try invocation-point replacement to redirect the selectable tool control field</x:v>
      </x:c>
      <x:c r="K375" s="2" t="str">
        <x:v>It's going to send parameters like toolsAllow to the real consumption layer.</x:v>
      </x:c>
      <x:c r="L375" s="2" t="str">
        <x:v>The two sets of labels agree and the original decision is retained; see the original annotations for the action and its association with the root cause.</x:v>
      </x:c>
      <x:c r="M375" s="2" t="str">
        <x:v>https://github.com/openclaw/openclaw/issues/66581</x:v>
      </x:c>
      <x:c r="N375" s="2" t="str">
        <x:v>F01</x:v>
      </x:c>
      <x:c r="O375" s="2" t="str">
        <x:v>Determinate from available evidence</x:v>
      </x:c>
    </x:row>
    <x:row r="376" ht="48.5" customHeight="1">
      <x:c r="A376" s="2" t="str">
        <x:v>R0073</x:v>
      </x:c>
      <x:c r="B376" s="2" t="str">
        <x:v>openclaw/openclaw</x:v>
      </x:c>
      <x:c r="C376" s="2" t="n">
        <x:v>70717</x:v>
      </x:c>
      <x:c r="D376" s="2" t="str">
        <x:v>C09</x:v>
      </x:c>
      <x:c r="E376" s="2" t="str">
        <x:v>U1</x:v>
      </x:c>
      <x:c r="F376" s="2" t="str">
        <x:v>U1</x:v>
      </x:c>
      <x:c r="G376" s="2" t="str">
        <x:v>F02</x:v>
      </x:c>
      <x:c r="H376" s="2" t="str">
        <x:v>Execution-flow and state correction</x:v>
      </x:c>
      <x:c r="I376" s="2" t="str">
        <x:v>Insufficient association evidence</x:v>
      </x:c>
      <x:c r="J376" s="2" t="str">
        <x:v>Recommended action: Recommended to reuse the boot plug-in index and load according to actual boot state limits, then test memory.</x:v>
      </x:c>
      <x:c r="K376" s="2" t="str">
        <x:v>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x:v>
      </x:c>
      <x:c r="L376" s="2" t="str">
        <x:v>One closest-fit strategy is selected as additionally requested.  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  The original evidence review is U1; this does not establish that a targeted repair has been verified.</x:v>
      </x:c>
      <x:c r="M376" s="2" t="str">
        <x:v>https://github.com/openclaw/openclaw/issues/70717</x:v>
      </x:c>
      <x:c r="N376" s="2" t="str">
        <x:v>U1</x:v>
      </x:c>
      <x:c r="O376" s="2" t="str">
        <x:v>Closest fit to the intent described in the summary</x:v>
      </x:c>
    </x:row>
    <x:row r="377" ht="24" customHeight="1">
      <x:c r="A377" s="2" t="str">
        <x:v>R0080</x:v>
      </x:c>
      <x:c r="B377" s="2" t="str">
        <x:v>openclaw/openclaw</x:v>
      </x:c>
      <x:c r="C377" s="2" t="n">
        <x:v>75158</x:v>
      </x:c>
      <x:c r="D377" s="2" t="str">
        <x:v>C16</x:v>
      </x:c>
      <x:c r="E377" s="2" t="str">
        <x:v>F02</x:v>
      </x:c>
      <x:c r="F377" s="2" t="str">
        <x:v>F02</x:v>
      </x:c>
      <x:c r="G377" s="2" t="str">
        <x:v>F02</x:v>
      </x:c>
      <x:c r="H377" s="2" t="str">
        <x:v>Execution-flow and state correction</x:v>
      </x:c>
      <x:c r="I377" s="2" t="str">
        <x:v>Recorded as implemented in the source data</x:v>
      </x:c>
      <x:c r="J377" s="2" t="str">
        <x:v>Monkey timing with registration budget and start-up limit</x:v>
      </x:c>
      <x:c r="K377" s="2" t="str">
        <x:v>So that the recall plug-in budget is not interrupted in advance by the 15 seconds</x:v>
      </x:c>
      <x:c r="L377" s="2" t="str">
        <x:v>The two sets of labels agree and the original decision is retained; see the original annotations for the action and its association with the root cause.</x:v>
      </x:c>
      <x:c r="M377" s="2" t="str">
        <x:v>https://github.com/openclaw/openclaw/issues/75158</x:v>
      </x:c>
      <x:c r="N377" s="2" t="str">
        <x:v>F02</x:v>
      </x:c>
      <x:c r="O377" s="2" t="str">
        <x:v>Determinate from available evidence</x:v>
      </x:c>
    </x:row>
    <x:row r="378" ht="24" customHeight="1">
      <x:c r="A378" s="2" t="str">
        <x:v>R0081</x:v>
      </x:c>
      <x:c r="B378" s="2" t="str">
        <x:v>openclaw/openclaw</x:v>
      </x:c>
      <x:c r="C378" s="2" t="n">
        <x:v>75512</x:v>
      </x:c>
      <x:c r="D378" s="2" t="str">
        <x:v>C07</x:v>
      </x:c>
      <x:c r="E378" s="2" t="str">
        <x:v>F02</x:v>
      </x:c>
      <x:c r="F378" s="2" t="str">
        <x:v>F02</x:v>
      </x:c>
      <x:c r="G378" s="2" t="str">
        <x:v>F02</x:v>
      </x:c>
      <x:c r="H378" s="2" t="str">
        <x:v>Execution-flow and state correction</x:v>
      </x:c>
      <x:c r="I378" s="2" t="str">
        <x:v>Recorded as implemented in the source data</x:v>
      </x:c>
      <x:c r="J378" s="2" t="str">
        <x:v>Compatible with multiple boot domain registries and cache the lock</x:v>
      </x:c>
      <x:c r="K378" s="2" t="str">
        <x:v>Avoid repeated full overload and repeated analysis during the request period</x:v>
      </x:c>
      <x:c r="L378" s="2" t="str">
        <x:v>The two sets of labels agree and the original decision is retained; see the original annotations for the action and its association with the root cause.</x:v>
      </x:c>
      <x:c r="M378" s="2" t="str">
        <x:v>https://github.com/openclaw/openclaw/issues/75512</x:v>
      </x:c>
      <x:c r="N378" s="2" t="str">
        <x:v>F02</x:v>
      </x:c>
      <x:c r="O378" s="2" t="str">
        <x:v>Determinate from available evidence</x:v>
      </x:c>
    </x:row>
    <x:row r="379" ht="24" customHeight="1">
      <x:c r="A379" s="2" t="str">
        <x:v>R0082</x:v>
      </x:c>
      <x:c r="B379" s="2" t="str">
        <x:v>openclaw/openclaw</x:v>
      </x:c>
      <x:c r="C379" s="2" t="n">
        <x:v>75887</x:v>
      </x:c>
      <x:c r="D379" s="2" t="str">
        <x:v>C07</x:v>
      </x:c>
      <x:c r="E379" s="2" t="str">
        <x:v>F02</x:v>
      </x:c>
      <x:c r="F379" s="2" t="str">
        <x:v>F02</x:v>
      </x:c>
      <x:c r="G379" s="2" t="str">
        <x:v>F02</x:v>
      </x:c>
      <x:c r="H379" s="2" t="str">
        <x:v>Execution-flow and state correction</x:v>
      </x:c>
      <x:c r="I379" s="2" t="str">
        <x:v>Partial coverage</x:v>
      </x:c>
      <x:c r="J379" s="2" t="str">
        <x:v>Plug-in white lists skip the core build and separate the complete registry cache</x:v>
      </x:c>
      <x:c r="K379" s="2" t="str">
        <x:v>Cutting the cycle of events that lead to the LRU's expulsion from synchronous work every round</x:v>
      </x:c>
      <x:c r="L379" s="2" t="str">
        <x:v>The two sets of labels agree and the original decision is retained; see the original annotations for the action and its association with the root cause.</x:v>
      </x:c>
      <x:c r="M379" s="2" t="str">
        <x:v>https://github.com/openclaw/openclaw/issues/75887</x:v>
      </x:c>
      <x:c r="N379" s="2" t="str">
        <x:v>F02</x:v>
      </x:c>
      <x:c r="O379" s="2" t="str">
        <x:v>Determinate from available evidence</x:v>
      </x:c>
    </x:row>
    <x:row r="380" ht="24" customHeight="1">
      <x:c r="A380" s="2" t="str">
        <x:v>R0084</x:v>
      </x:c>
      <x:c r="B380" s="2" t="str">
        <x:v>openclaw/openclaw</x:v>
      </x:c>
      <x:c r="C380" s="2" t="n">
        <x:v>76412</x:v>
      </x:c>
      <x:c r="D380" s="2" t="str">
        <x:v>C14</x:v>
      </x:c>
      <x:c r="E380" s="2" t="str">
        <x:v>F03</x:v>
      </x:c>
      <x:c r="F380" s="2" t="str">
        <x:v>F03</x:v>
      </x:c>
      <x:c r="G380" s="2" t="str">
        <x:v>F03</x:v>
      </x:c>
      <x:c r="H380" s="2" t="str">
        <x:v>Validation and failure-path hardening</x:v>
      </x:c>
      <x:c r="I380" s="2" t="str">
        <x:v>Partial coverage</x:v>
      </x:c>
      <x:c r="J380" s="2" t="str">
        <x:v>fallback delivers complete results after testing incomplete forecasts</x:v>
      </x:c>
      <x:c r="K380" s="2" t="str">
        <x:v>New completeness conditions allow shortcut output not to be misjudged as successfully delivered</x:v>
      </x:c>
      <x:c r="L380" s="2" t="str">
        <x:v>The two sets of labels agree and the original decision is retained; see the original annotations for the action and its association with the root cause.</x:v>
      </x:c>
      <x:c r="M380" s="2" t="str">
        <x:v>https://github.com/openclaw/openclaw/issues/76412</x:v>
      </x:c>
      <x:c r="N380" s="2" t="str">
        <x:v>F03</x:v>
      </x:c>
      <x:c r="O380" s="2" t="str">
        <x:v>Determinate from available evidence</x:v>
      </x:c>
    </x:row>
    <x:row r="381" ht="24" customHeight="1">
      <x:c r="A381" s="2" t="str">
        <x:v>R0085</x:v>
      </x:c>
      <x:c r="B381" s="2" t="str">
        <x:v>openclaw/openclaw</x:v>
      </x:c>
      <x:c r="C381" s="2" t="n">
        <x:v>77106</x:v>
      </x:c>
      <x:c r="D381" s="2" t="str">
        <x:v>C21</x:v>
      </x:c>
      <x:c r="E381" s="2" t="str">
        <x:v>F04</x:v>
      </x:c>
      <x:c r="F381" s="2" t="str">
        <x:v>F04</x:v>
      </x:c>
      <x:c r="G381" s="2" t="str">
        <x:v>F04</x:v>
      </x:c>
      <x:c r="H381" s="2" t="str">
        <x:v>Environment and distribution adaptation</x:v>
      </x:c>
      <x:c r="I381" s="2" t="str">
        <x:v>Recorded as implemented in the source data</x:v>
      </x:c>
      <x:c r="J381" s="2" t="str">
        <x:v>Install and delay the installation of Phantom Plugins by disk entities</x:v>
      </x:c>
      <x:c r="K381" s="2" t="str">
        <x:v>Retrieve the configured add-on missing load instead of just installing the desktop</x:v>
      </x:c>
      <x:c r="L381" s="2" t="str">
        <x:v>The two sets of labels agree and the original decision is retained; see the original annotations for the action and its association with the root cause.</x:v>
      </x:c>
      <x:c r="M381" s="2" t="str">
        <x:v>https://github.com/openclaw/openclaw/issues/77106</x:v>
      </x:c>
      <x:c r="N381" s="2" t="str">
        <x:v>F04</x:v>
      </x:c>
      <x:c r="O381" s="2" t="str">
        <x:v>Determinate from available evidence</x:v>
      </x:c>
    </x:row>
    <x:row r="382" ht="24" customHeight="1">
      <x:c r="A382" s="2" t="str">
        <x:v>R0086</x:v>
      </x:c>
      <x:c r="B382" s="2" t="str">
        <x:v>openclaw/openclaw</x:v>
      </x:c>
      <x:c r="C382" s="2" t="n">
        <x:v>77233</x:v>
      </x:c>
      <x:c r="D382" s="2" t="str">
        <x:v>C09</x:v>
      </x:c>
      <x:c r="E382" s="2" t="str">
        <x:v>F02</x:v>
      </x:c>
      <x:c r="F382" s="2" t="str">
        <x:v>F02</x:v>
      </x:c>
      <x:c r="G382" s="2" t="str">
        <x:v>F02</x:v>
      </x:c>
      <x:c r="H382" s="2" t="str">
        <x:v>Execution-flow and state correction</x:v>
      </x:c>
      <x:c r="I382" s="2" t="str">
        <x:v>Recorded as implemented in the source data</x:v>
      </x:c>
      <x:c r="J382" s="2" t="str">
        <x:v>Space-providing side mapping re-loads and configures</x:v>
      </x:c>
      <x:c r="K382" s="2" t="str">
        <x:v>Do not authorise incomplete activity registers and restore web provider status</x:v>
      </x:c>
      <x:c r="L382" s="2" t="str">
        <x:v>The two sets of labels agree and the original decision is retained; see the original annotations for the action and its association with the root cause.</x:v>
      </x:c>
      <x:c r="M382" s="2" t="str">
        <x:v>https://github.com/openclaw/openclaw/issues/77233</x:v>
      </x:c>
      <x:c r="N382" s="2" t="str">
        <x:v>F02</x:v>
      </x:c>
      <x:c r="O382" s="2" t="str">
        <x:v>Determinate from available evidence</x:v>
      </x:c>
    </x:row>
    <x:row r="383" ht="24" customHeight="1">
      <x:c r="A383" s="2" t="str">
        <x:v>R0089</x:v>
      </x:c>
      <x:c r="B383" s="2" t="str">
        <x:v>openclaw/openclaw</x:v>
      </x:c>
      <x:c r="C383" s="2" t="n">
        <x:v>78260</x:v>
      </x:c>
      <x:c r="D383" s="2" t="str">
        <x:v>C10</x:v>
      </x:c>
      <x:c r="E383" s="2" t="str">
        <x:v>F02</x:v>
      </x:c>
      <x:c r="F383" s="2" t="str">
        <x:v>F02</x:v>
      </x:c>
      <x:c r="G383" s="2" t="str">
        <x:v>F02</x:v>
      </x:c>
      <x:c r="H383" s="2" t="str">
        <x:v>Execution-flow and state correction</x:v>
      </x:c>
      <x:c r="I383" s="2" t="str">
        <x:v>Candidate change not merged</x:v>
      </x:c>
      <x:c r="J383" s="2" t="str">
        <x:v>Removing early returns makes the failed injection possible to continue transit delivery</x:v>
      </x:c>
      <x:c r="K383" s="2" t="str">
        <x:v>Follow-up awakening paths when the candidate connects father active but can't stream consumption</x:v>
      </x:c>
      <x:c r="L383" s="2" t="str">
        <x:v>The two sets of labels agree and the original decision is retained; see the original annotations for the action and its association with the root cause.</x:v>
      </x:c>
      <x:c r="M383" s="2" t="str">
        <x:v>https://github.com/openclaw/openclaw/issues/78260</x:v>
      </x:c>
      <x:c r="N383" s="2" t="str">
        <x:v>F02</x:v>
      </x:c>
      <x:c r="O383" s="2" t="str">
        <x:v>Determinate from available evidence</x:v>
      </x:c>
    </x:row>
    <x:row r="384" ht="35" customHeight="1">
      <x:c r="A384" s="2" t="str">
        <x:v>R0090</x:v>
      </x:c>
      <x:c r="B384" s="2" t="str">
        <x:v>openclaw/openclaw</x:v>
      </x:c>
      <x:c r="C384" s="2" t="n">
        <x:v>78671</x:v>
      </x:c>
      <x:c r="D384" s="2" t="str">
        <x:v>C05</x:v>
      </x:c>
      <x:c r="E384" s="2" t="str">
        <x:v>F01</x:v>
      </x:c>
      <x:c r="F384" s="2" t="str">
        <x:v>F02</x:v>
      </x:c>
      <x:c r="G384" s="2" t="str">
        <x:v>F02</x:v>
      </x:c>
      <x:c r="H384" s="2" t="str">
        <x:v>Execution-flow and state correction</x:v>
      </x:c>
      <x:c r="I384" s="2" t="str">
        <x:v>Recorded as implemented in the source data</x:v>
      </x:c>
      <x:c r="J384" s="2" t="str">
        <x:v>The tool name matching performed by the actual factory</x:v>
      </x:c>
      <x:c r="K384" s="2" t="str">
        <x:v>The dynamic division is the main action, not just changing the static name field, when executing the object-oriented candidate and selecting tool according to the actual return name. </x:v>
      </x:c>
      <x:c r="L384" s="2" t="str">
        <x:v>Calculated integrated retrospective: when executed, the candidate is successively localized and selected tool according to the actual return name; the action is dynamic distribution; not just changing the static name field.</x:v>
      </x:c>
      <x:c r="M384" s="2" t="str">
        <x:v>https://github.com/openclaw/openclaw/issues/78671</x:v>
      </x:c>
      <x:c r="N384" s="2" t="str">
        <x:v>F02</x:v>
      </x:c>
      <x:c r="O384" s="2" t="str">
        <x:v>Determinate from available evidence</x:v>
      </x:c>
    </x:row>
    <x:row r="385" ht="24" customHeight="1">
      <x:c r="A385" s="2" t="str">
        <x:v>R0091</x:v>
      </x:c>
      <x:c r="B385" s="2" t="str">
        <x:v>openclaw/openclaw</x:v>
      </x:c>
      <x:c r="C385" s="2" t="n">
        <x:v>81492</x:v>
      </x:c>
      <x:c r="D385" s="2" t="str">
        <x:v>C11</x:v>
      </x:c>
      <x:c r="E385" s="2" t="str">
        <x:v>F02</x:v>
      </x:c>
      <x:c r="F385" s="2" t="str">
        <x:v>F02</x:v>
      </x:c>
      <x:c r="G385" s="2" t="str">
        <x:v>F02</x:v>
      </x:c>
      <x:c r="H385" s="2" t="str">
        <x:v>Execution-flow and state correction</x:v>
      </x:c>
      <x:c r="I385" s="2" t="str">
        <x:v>Recorded as implemented in the source data</x:v>
      </x:c>
      <x:c r="J385" s="2" t="str">
        <x:v>Maintaining child session keys that are still running or pending delivery</x:v>
      </x:c>
      <x:c r="K385" s="2" t="str">
        <x:v>Meetings clear the perception of subagent lifecycle, avoid notifications before deletion</x:v>
      </x:c>
      <x:c r="L385" s="2" t="str">
        <x:v>The two sets of labels agree and the original decision is retained; see the original annotations for the action and its association with the root cause.</x:v>
      </x:c>
      <x:c r="M385" s="2" t="str">
        <x:v>https://github.com/openclaw/openclaw/issues/81492</x:v>
      </x:c>
      <x:c r="N385" s="2" t="str">
        <x:v>F02</x:v>
      </x:c>
      <x:c r="O385" s="2" t="str">
        <x:v>Determinate from available evidence</x:v>
      </x:c>
    </x:row>
    <x:row r="386" ht="24" customHeight="1">
      <x:c r="A386" s="2" t="str">
        <x:v>R0096</x:v>
      </x:c>
      <x:c r="B386" s="2" t="str">
        <x:v>openclaw/openclaw</x:v>
      </x:c>
      <x:c r="C386" s="2" t="n">
        <x:v>88056</x:v>
      </x:c>
      <x:c r="D386" s="2" t="str">
        <x:v>C10</x:v>
      </x:c>
      <x:c r="E386" s="2" t="str">
        <x:v>F02</x:v>
      </x:c>
      <x:c r="F386" s="2" t="str">
        <x:v>F02</x:v>
      </x:c>
      <x:c r="G386" s="2" t="str">
        <x:v>F02</x:v>
      </x:c>
      <x:c r="H386" s="2" t="str">
        <x:v>Execution-flow and state correction</x:v>
      </x:c>
      <x:c r="I386" s="2" t="str">
        <x:v>Recorded as implemented in the source data</x:v>
      </x:c>
      <x:c r="J386" s="2" t="str">
        <x:v>Skill commands re-load when a complete list is required</x:v>
      </x:c>
      <x:c r="K386" s="2" t="str">
        <x:v>No longer used as authoritative Skill status for space arrays</x:v>
      </x:c>
      <x:c r="L386" s="2" t="str">
        <x:v>The two sets of labels agree and the original decision is retained; see the original annotations for the action and its association with the root cause.</x:v>
      </x:c>
      <x:c r="M386" s="2" t="str">
        <x:v>https://github.com/openclaw/openclaw/issues/88056</x:v>
      </x:c>
      <x:c r="N386" s="2" t="str">
        <x:v>F02</x:v>
      </x:c>
      <x:c r="O386" s="2" t="str">
        <x:v>Determinate from available evidence</x:v>
      </x:c>
    </x:row>
    <x:row r="387" ht="24" customHeight="1">
      <x:c r="A387" s="2" t="str">
        <x:v>R0104</x:v>
      </x:c>
      <x:c r="B387" s="2" t="str">
        <x:v>openclaw/openclaw</x:v>
      </x:c>
      <x:c r="C387" s="2" t="n">
        <x:v>92486</x:v>
      </x:c>
      <x:c r="D387" s="2" t="str">
        <x:v>C16</x:v>
      </x:c>
      <x:c r="E387" s="2" t="str">
        <x:v>F01</x:v>
      </x:c>
      <x:c r="F387" s="2" t="str">
        <x:v>F01</x:v>
      </x:c>
      <x:c r="G387" s="2" t="str">
        <x:v>F01</x:v>
      </x:c>
      <x:c r="H387" s="2" t="str">
        <x:v>Representation and usage-contract alignment</x:v>
      </x:c>
      <x:c r="I387" s="2" t="str">
        <x:v>Recorded as implemented in the source data</x:v>
      </x:c>
      <x:c r="J387" s="2" t="str">
        <x:v>subagent configuration model adds fallback source field</x:v>
      </x:c>
      <x:c r="K387" s="2" t="str">
        <x:v>Let the legitimate configuration coverage and legacy automatic fallback have distinctive representations</x:v>
      </x:c>
      <x:c r="L387" s="2" t="str">
        <x:v>The two sets of labels agree and the original decision is retained; see the original annotations for the action and its association with the root cause.</x:v>
      </x:c>
      <x:c r="M387" s="2" t="str">
        <x:v>https://github.com/openclaw/openclaw/issues/92486</x:v>
      </x:c>
      <x:c r="N387" s="2" t="str">
        <x:v>F01</x:v>
      </x:c>
      <x:c r="O387" s="2" t="str">
        <x:v>Determinate from available evidence</x:v>
      </x:c>
    </x:row>
    <x:row r="388" ht="24" customHeight="1">
      <x:c r="A388" s="2" t="str">
        <x:v>R0110</x:v>
      </x:c>
      <x:c r="B388" s="2" t="str">
        <x:v>openclaw/openclaw</x:v>
      </x:c>
      <x:c r="C388" s="2" t="n">
        <x:v>102854</x:v>
      </x:c>
      <x:c r="D388" s="2" t="str">
        <x:v>C07</x:v>
      </x:c>
      <x:c r="E388" s="2" t="str">
        <x:v>F02</x:v>
      </x:c>
      <x:c r="F388" s="2" t="str">
        <x:v>F02</x:v>
      </x:c>
      <x:c r="G388" s="2" t="str">
        <x:v>F02</x:v>
      </x:c>
      <x:c r="H388" s="2" t="str">
        <x:v>Execution-flow and state correction</x:v>
      </x:c>
      <x:c r="I388" s="2" t="str">
        <x:v>Recorded as implemented in the source data</x:v>
      </x:c>
      <x:c r="J388" s="2" t="str">
        <x:v>The tool finally refreshed the list of legacies allowed after its projection</x:v>
      </x:c>
      <x:c r="K388" s="2" t="str">
        <x:v>Fix early snapshots that miss the state timing of late materialized MCP and LSP</x:v>
      </x:c>
      <x:c r="L388" s="2" t="str">
        <x:v>The two sets of labels agree and the original decision is retained; see the original annotations for the action and its association with the root cause.</x:v>
      </x:c>
      <x:c r="M388" s="2" t="str">
        <x:v>https://github.com/openclaw/openclaw/issues/102854</x:v>
      </x:c>
      <x:c r="N388" s="2" t="str">
        <x:v>F02</x:v>
      </x:c>
      <x:c r="O388" s="2" t="str">
        <x:v>Determinate from available evidence</x:v>
      </x:c>
    </x:row>
    <x:row r="389" ht="24" customHeight="1">
      <x:c r="A389" s="2" t="str">
        <x:v>R0111</x:v>
      </x:c>
      <x:c r="B389" s="2" t="str">
        <x:v>openclaw/openclaw</x:v>
      </x:c>
      <x:c r="C389" s="2" t="n">
        <x:v>104743</x:v>
      </x:c>
      <x:c r="D389" s="2" t="str">
        <x:v>C15</x:v>
      </x:c>
      <x:c r="E389" s="2" t="str">
        <x:v>F01</x:v>
      </x:c>
      <x:c r="F389" s="2" t="str">
        <x:v>F01</x:v>
      </x:c>
      <x:c r="G389" s="2" t="str">
        <x:v>F01</x:v>
      </x:c>
      <x:c r="H389" s="2" t="str">
        <x:v>Representation and usage-contract alignment</x:v>
      </x:c>
      <x:c r="I389" s="2" t="str">
        <x:v>Recorded as implemented in the source data</x:v>
      </x:c>
      <x:c r="J389" s="2" t="str">
        <x:v>First pair always declares the MCP order family</x:v>
      </x:c>
      <x:c r="K389" s="2" t="str">
        <x:v>Make matching capability contracts independent of the number of current servers</x:v>
      </x:c>
      <x:c r="L389" s="2" t="str">
        <x:v>The two sets of labels agree and the original decision is retained; see the original annotations for the action and its association with the root cause.</x:v>
      </x:c>
      <x:c r="M389" s="2" t="str">
        <x:v>https://github.com/openclaw/openclaw/issues/104743</x:v>
      </x:c>
      <x:c r="N389" s="2" t="str">
        <x:v>F01</x:v>
      </x:c>
      <x:c r="O389" s="2" t="str">
        <x:v>Determinate from available evidence</x:v>
      </x:c>
    </x:row>
    <x:row r="390" ht="24" customHeight="1">
      <x:c r="A390" s="2" t="str">
        <x:v>R0112</x:v>
      </x:c>
      <x:c r="B390" s="2" t="str">
        <x:v>openclaw/openclaw</x:v>
      </x:c>
      <x:c r="C390" s="2" t="n">
        <x:v>105110</x:v>
      </x:c>
      <x:c r="D390" s="2" t="str">
        <x:v>C11</x:v>
      </x:c>
      <x:c r="E390" s="2" t="str">
        <x:v>F04</x:v>
      </x:c>
      <x:c r="F390" s="2" t="str">
        <x:v>F04</x:v>
      </x:c>
      <x:c r="G390" s="2" t="str">
        <x:v>F04</x:v>
      </x:c>
      <x:c r="H390" s="2" t="str">
        <x:v>Environment and distribution adaptation</x:v>
      </x:c>
      <x:c r="I390" s="2" t="str">
        <x:v>Recorded as implemented in the source data</x:v>
      </x:c>
      <x:c r="J390" s="2" t="str">
        <x:v>Source fallback disables native and converts to SDK dependence</x:v>
      </x:c>
      <x:c r="K390" s="2" t="str">
        <x:v>Loading premise for running Node native ESM over race condition</x:v>
      </x:c>
      <x:c r="L390" s="2" t="str">
        <x:v>The two sets of labels agree and the original decision is retained; see the original annotations for the action and its association with the root cause.</x:v>
      </x:c>
      <x:c r="M390" s="2" t="str">
        <x:v>https://github.com/openclaw/openclaw/issues/105110</x:v>
      </x:c>
      <x:c r="N390" s="2" t="str">
        <x:v>F04</x:v>
      </x:c>
      <x:c r="O390" s="2" t="str">
        <x:v>Determinate from available evidence</x:v>
      </x:c>
    </x:row>
    <x:row r="391" ht="35" customHeight="1">
      <x:c r="A391" s="2" t="str">
        <x:v>R0113</x:v>
      </x:c>
      <x:c r="B391" s="2" t="str">
        <x:v>openclaw/openclaw</x:v>
      </x:c>
      <x:c r="C391" s="2" t="n">
        <x:v>106517</x:v>
      </x:c>
      <x:c r="D391" s="2" t="str">
        <x:v>C11</x:v>
      </x:c>
      <x:c r="E391" s="2" t="str">
        <x:v>F03</x:v>
      </x:c>
      <x:c r="F391" s="2" t="str">
        <x:v>F03</x:v>
      </x:c>
      <x:c r="G391" s="2" t="str">
        <x:v>F03</x:v>
      </x:c>
      <x:c r="H391" s="2" t="str">
        <x:v>Validation and failure-path hardening</x:v>
      </x:c>
      <x:c r="I391" s="2" t="str">
        <x:v>Partial coverage</x:v>
      </x:c>
      <x:c r="J391" s="2" t="str">
        <x:v>Isolation cron Reject and hide yield tool</x:v>
      </x:c>
      <x:c r="K391" s="2" t="str">
        <x:v>Subsequent hiding from the isolated cron and refusing yield was a quick failure avoidance; no recovery of the original cron completed the owner/awakening link, partly covered.</x:v>
      </x:c>
      <x:c r="L391" s="2" t="str">
        <x:v>After computation, integrated retrieval: subsequent hiding of the isolated cron and denial of yield is a quick failure avoidance; no restoration of the original cron completes the owner/awake link, partly covered.</x:v>
      </x:c>
      <x:c r="M391" s="2" t="str">
        <x:v>https://github.com/openclaw/openclaw/issues/106517</x:v>
      </x:c>
      <x:c r="N391" s="2" t="str">
        <x:v>F03</x:v>
      </x:c>
      <x:c r="O391" s="2" t="str">
        <x:v>Determinate from available evidence</x:v>
      </x:c>
    </x:row>
    <x:row r="392" ht="24" customHeight="1">
      <x:c r="A392" s="2" t="str">
        <x:v>R0116</x:v>
      </x:c>
      <x:c r="B392" s="2" t="str">
        <x:v>openclaw/openclaw</x:v>
      </x:c>
      <x:c r="C392" s="2" t="n">
        <x:v>115443</x:v>
      </x:c>
      <x:c r="D392" s="2" t="str">
        <x:v>C23</x:v>
      </x:c>
      <x:c r="E392" s="2" t="str">
        <x:v>F01</x:v>
      </x:c>
      <x:c r="F392" s="2" t="str">
        <x:v>F01</x:v>
      </x:c>
      <x:c r="G392" s="2" t="str">
        <x:v>F01</x:v>
      </x:c>
      <x:c r="H392" s="2" t="str">
        <x:v>Representation and usage-contract alignment</x:v>
      </x:c>
      <x:c r="I392" s="2" t="str">
        <x:v>Recorded as implemented in the source data</x:v>
      </x:c>
      <x:c r="J392" s="2" t="str">
        <x:v>Codex instructs you to complete the transmission and wait conditions</x:v>
      </x:c>
      <x:c r="K392" s="2" t="str">
        <x:v>The model is told that the yield and wait behaviour have been supported by the choice of agreement</x:v>
      </x:c>
      <x:c r="L392" s="2" t="str">
        <x:v>The two sets of labels agree and the original decision is retained; see the original annotations for the action and its association with the root cause.</x:v>
      </x:c>
      <x:c r="M392" s="2" t="str">
        <x:v>https://github.com/openclaw/openclaw/issues/115443</x:v>
      </x:c>
      <x:c r="N392" s="2" t="str">
        <x:v>F01</x:v>
      </x:c>
      <x:c r="O392" s="2" t="str">
        <x:v>Determinate from available evidence</x:v>
      </x:c>
    </x:row>
    <x:row r="393" ht="35" customHeight="1">
      <x:c r="A393" s="2" t="str">
        <x:v>R0117</x:v>
      </x:c>
      <x:c r="B393" s="2" t="str">
        <x:v>openclaw/openclaw</x:v>
      </x:c>
      <x:c r="C393" s="2" t="n">
        <x:v>118018</x:v>
      </x:c>
      <x:c r="D393" s="2" t="str">
        <x:v>C05</x:v>
      </x:c>
      <x:c r="E393" s="2" t="str">
        <x:v>F02</x:v>
      </x:c>
      <x:c r="F393" s="2" t="str">
        <x:v>F03</x:v>
      </x:c>
      <x:c r="G393" s="2" t="str">
        <x:v>F02</x:v>
      </x:c>
      <x:c r="H393" s="2" t="str">
        <x:v>Execution-flow and state correction</x:v>
      </x:c>
      <x:c r="I393" s="2" t="str">
        <x:v>Candidate change not merged</x:v>
      </x:c>
      <x:c r="J393" s="2" t="str">
        <x:v>The capture of the requestor's lifecycle is generated and sent to a pre-matched</x:v>
      </x:c>
      <x:c r="K393" s="2" t="str">
        <x:v>Capture and perpetuate lifecycle generations, then compare them to the current requesting party, rebuild intergenerational status attribution; disconnect refusal is a support. </x:v>
      </x:c>
      <x:c r="L393" s="2" t="str">
        <x:v>After computation, integrated retrieval: capture and sustain lifecycle generations, then compare with current requestors, reconstruct the generational status attribution; decline is ancillary.</x:v>
      </x:c>
      <x:c r="M393" s="2" t="str">
        <x:v>https://github.com/openclaw/openclaw/issues/118018</x:v>
      </x:c>
      <x:c r="N393" s="2" t="str">
        <x:v>F02</x:v>
      </x:c>
      <x:c r="O393" s="2" t="str">
        <x:v>Determinate from available evidence</x:v>
      </x:c>
    </x:row>
    <x:row r="394" ht="24" customHeight="1">
      <x:c r="A394" s="2" t="str">
        <x:v>R0118</x:v>
      </x:c>
      <x:c r="B394" s="2" t="str">
        <x:v>openclaw/openclaw</x:v>
      </x:c>
      <x:c r="C394" s="2" t="n">
        <x:v>119143</x:v>
      </x:c>
      <x:c r="D394" s="2" t="str">
        <x:v>C11</x:v>
      </x:c>
      <x:c r="E394" s="2" t="str">
        <x:v>F02</x:v>
      </x:c>
      <x:c r="F394" s="2" t="str">
        <x:v>F02</x:v>
      </x:c>
      <x:c r="G394" s="2" t="str">
        <x:v>F02</x:v>
      </x:c>
      <x:c r="H394" s="2" t="str">
        <x:v>Execution-flow and state correction</x:v>
      </x:c>
      <x:c r="I394" s="2" t="str">
        <x:v>Recorded as implemented in the source data</x:v>
      </x:c>
      <x:c r="J394" s="2" t="str">
        <x:v>Independent status and accurate tokens during timeout recovery</x:v>
      </x:c>
      <x:c r="K394" s="2" t="str">
        <x:v>Distinguish recovery from real abandonment, complete communication from retry without abandonment</x:v>
      </x:c>
      <x:c r="L394" s="2" t="str">
        <x:v>The two sets of labels agree and the original decision is retained; see the original annotations for the action and its association with the root cause.</x:v>
      </x:c>
      <x:c r="M394" s="2" t="str">
        <x:v>https://github.com/openclaw/openclaw/issues/119143</x:v>
      </x:c>
      <x:c r="N394" s="2" t="str">
        <x:v>F02</x:v>
      </x:c>
      <x:c r="O394" s="2" t="str">
        <x:v>Determinate from available evidence</x:v>
      </x:c>
    </x:row>
    <x:row r="395" ht="24" customHeight="1">
      <x:c r="A395" s="2" t="str">
        <x:v>R0120</x:v>
      </x:c>
      <x:c r="B395" s="2" t="str">
        <x:v>openclaw/openclaw</x:v>
      </x:c>
      <x:c r="C395" s="2" t="n">
        <x:v>126996</x:v>
      </x:c>
      <x:c r="D395" s="2" t="str">
        <x:v>C13</x:v>
      </x:c>
      <x:c r="E395" s="2" t="str">
        <x:v>F03</x:v>
      </x:c>
      <x:c r="F395" s="2" t="str">
        <x:v>F03</x:v>
      </x:c>
      <x:c r="G395" s="2" t="str">
        <x:v>F03</x:v>
      </x:c>
      <x:c r="H395" s="2" t="str">
        <x:v>Validation and failure-path hardening</x:v>
      </x:c>
      <x:c r="I395" s="2" t="str">
        <x:v>Recorded as implemented in the source data</x:v>
      </x:c>
      <x:c r="J395" s="2" t="str">
        <x:v>Skill ordered the error sharing of JSON failed filters</x:v>
      </x:c>
      <x:c r="K395" s="2" t="str">
        <x:v>Unusually, no direct local withdrawal, and actual failure of output to restore normative endings</x:v>
      </x:c>
      <x:c r="L395" s="2" t="str">
        <x:v>The two sets of labels agree and the original decision is retained; see the original annotations for the action and its association with the root cause.</x:v>
      </x:c>
      <x:c r="M395" s="2" t="str">
        <x:v>https://github.com/openclaw/openclaw/issues/126996</x:v>
      </x:c>
      <x:c r="N395" s="2" t="str">
        <x:v>F03</x:v>
      </x:c>
      <x:c r="O395" s="2" t="str">
        <x:v>Determinate from available evidence</x:v>
      </x:c>
    </x:row>
    <x:row r="396" ht="24" customHeight="1">
      <x:c r="A396" s="2" t="str">
        <x:v>R0121</x:v>
      </x:c>
      <x:c r="B396" s="2" t="str">
        <x:v>openclaw/openclaw</x:v>
      </x:c>
      <x:c r="C396" s="2" t="n">
        <x:v>127034</x:v>
      </x:c>
      <x:c r="D396" s="2" t="str">
        <x:v>C02</x:v>
      </x:c>
      <x:c r="E396" s="2" t="str">
        <x:v>F01</x:v>
      </x:c>
      <x:c r="F396" s="2" t="str">
        <x:v>F01</x:v>
      </x:c>
      <x:c r="G396" s="2" t="str">
        <x:v>F01</x:v>
      </x:c>
      <x:c r="H396" s="2" t="str">
        <x:v>Representation and usage-contract alignment</x:v>
      </x:c>
      <x:c r="I396" s="2" t="str">
        <x:v>Recorded as implemented in the source data</x:v>
      </x:c>
      <x:c r="J396" s="2" t="str">
        <x:v>proofId References to Direct Repeated Endorsements</x:v>
      </x:c>
      <x:c r="K396" s="2" t="str">
        <x:v>Remove unnecessary new proof Request, unity tool schema Relation to storage</x:v>
      </x:c>
      <x:c r="L396" s="2" t="str">
        <x:v>The two sets of labels agree and the original decision is retained; see the original annotations for the action and its association with the root cause.</x:v>
      </x:c>
      <x:c r="M396" s="2" t="str">
        <x:v>https://github.com/openclaw/openclaw/issues/127034</x:v>
      </x:c>
      <x:c r="N396" s="2" t="str">
        <x:v>F01</x:v>
      </x:c>
      <x:c r="O396" s="2" t="str">
        <x:v>Determinate from available evidence</x:v>
      </x:c>
    </x:row>
    <x:row r="397" ht="24" customHeight="1">
      <x:c r="A397" s="2" t="str">
        <x:v>R0122</x:v>
      </x:c>
      <x:c r="B397" s="2" t="str">
        <x:v>openclaw/openclaw</x:v>
      </x:c>
      <x:c r="C397" s="2" t="n">
        <x:v>128755</x:v>
      </x:c>
      <x:c r="D397" s="2" t="str">
        <x:v>C05</x:v>
      </x:c>
      <x:c r="E397" s="2" t="str">
        <x:v>F01</x:v>
      </x:c>
      <x:c r="F397" s="2" t="str">
        <x:v>F01</x:v>
      </x:c>
      <x:c r="G397" s="2" t="str">
        <x:v>F01</x:v>
      </x:c>
      <x:c r="H397" s="2" t="str">
        <x:v>Representation and usage-contract alignment</x:v>
      </x:c>
      <x:c r="I397" s="2" t="str">
        <x:v>Recorded as implemented in the source data</x:v>
      </x:c>
      <x:c r="J397" s="2" t="str">
        <x:v>By proxy ID Combined Identity Associated Usage</x:v>
      </x:c>
      <x:c r="K397" s="2" t="str">
        <x:v>Avoid misattribution of the same sessionId tag or deduplication</x:v>
      </x:c>
      <x:c r="L397" s="2" t="str">
        <x:v>The two sets of labels agree and the original decision is retained; see the original annotations for the action and its association with the root cause.</x:v>
      </x:c>
      <x:c r="M397" s="2" t="str">
        <x:v>https://github.com/openclaw/openclaw/issues/128755</x:v>
      </x:c>
      <x:c r="N397" s="2" t="str">
        <x:v>F01</x:v>
      </x:c>
      <x:c r="O397" s="2" t="str">
        <x:v>Determinate from available evidence</x:v>
      </x:c>
    </x:row>
    <x:row r="398" ht="24" customHeight="1">
      <x:c r="A398" s="2" t="str">
        <x:v>R0123</x:v>
      </x:c>
      <x:c r="B398" s="2" t="str">
        <x:v>openclaw/openclaw</x:v>
      </x:c>
      <x:c r="C398" s="2" t="n">
        <x:v>138383</x:v>
      </x:c>
      <x:c r="D398" s="2" t="str">
        <x:v>C14</x:v>
      </x:c>
      <x:c r="E398" s="2" t="str">
        <x:v>F01</x:v>
      </x:c>
      <x:c r="F398" s="2" t="str">
        <x:v>F01</x:v>
      </x:c>
      <x:c r="G398" s="2" t="str">
        <x:v>F01</x:v>
      </x:c>
      <x:c r="H398" s="2" t="str">
        <x:v>Representation and usage-contract alignment</x:v>
      </x:c>
      <x:c r="I398" s="2" t="str">
        <x:v>Recorded as implemented in the source data</x:v>
      </x:c>
      <x:c r="J398" s="2" t="str">
        <x:v>Transfer tool metadata to subscriptions and bridges</x:v>
      </x:c>
      <x:c r="K398" s="2" t="str">
        <x:v>Trusted collection fields needed to be filtered by consumers, restored plug-ins attachments</x:v>
      </x:c>
      <x:c r="L398" s="2" t="str">
        <x:v>The two sets of labels agree and the original decision is retained; see the original annotations for the action and its association with the root cause.</x:v>
      </x:c>
      <x:c r="M398" s="2" t="str">
        <x:v>https://github.com/openclaw/openclaw/issues/138383</x:v>
      </x:c>
      <x:c r="N398" s="2" t="str">
        <x:v>F01</x:v>
      </x:c>
      <x:c r="O398" s="2" t="str">
        <x:v>Determinate from available evidence</x:v>
      </x:c>
    </x:row>
    <x:row r="399" ht="24" customHeight="1">
      <x:c r="A399" s="2" t="str">
        <x:v>R0125</x:v>
      </x:c>
      <x:c r="B399" s="2" t="str">
        <x:v>openclaw/openclaw</x:v>
      </x:c>
      <x:c r="C399" s="2" t="n">
        <x:v>149553</x:v>
      </x:c>
      <x:c r="D399" s="2" t="str">
        <x:v>C13</x:v>
      </x:c>
      <x:c r="E399" s="2" t="str">
        <x:v>F03</x:v>
      </x:c>
      <x:c r="F399" s="2" t="str">
        <x:v>F03</x:v>
      </x:c>
      <x:c r="G399" s="2" t="str">
        <x:v>F03</x:v>
      </x:c>
      <x:c r="H399" s="2" t="str">
        <x:v>Validation and failure-path hardening</x:v>
      </x:c>
      <x:c r="I399" s="2" t="str">
        <x:v>Recorded as implemented in the source data</x:v>
      </x:c>
      <x:c r="J399" s="2" t="str">
        <x:v>Refusal to start a reboot before the change takes effect does not record failure</x:v>
      </x:c>
      <x:c r="K399" s="2" t="str">
        <x:v>A precise distinction between unsuccessful rejection and failure of real change</x:v>
      </x:c>
      <x:c r="L399" s="2" t="str">
        <x:v>The two sets of labels agree and the original decision is retained; see the original annotations for the action and its association with the root cause.</x:v>
      </x:c>
      <x:c r="M399" s="2" t="str">
        <x:v>https://github.com/openclaw/openclaw/issues/149553</x:v>
      </x:c>
      <x:c r="N399" s="2" t="str">
        <x:v>F03</x:v>
      </x:c>
      <x:c r="O399" s="2" t="str">
        <x:v>Determinate from available evidence</x:v>
      </x:c>
    </x:row>
    <x:row r="400" ht="24" customHeight="1">
      <x:c r="A400" s="2" t="str">
        <x:v>R0126</x:v>
      </x:c>
      <x:c r="B400" s="2" t="str">
        <x:v>openclaw/openclaw</x:v>
      </x:c>
      <x:c r="C400" s="2" t="n">
        <x:v>157078</x:v>
      </x:c>
      <x:c r="D400" s="2" t="str">
        <x:v>C21</x:v>
      </x:c>
      <x:c r="E400" s="2" t="str">
        <x:v>F02</x:v>
      </x:c>
      <x:c r="F400" s="2" t="str">
        <x:v>F02</x:v>
      </x:c>
      <x:c r="G400" s="2" t="str">
        <x:v>F02</x:v>
      </x:c>
      <x:c r="H400" s="2" t="str">
        <x:v>Execution-flow and state correction</x:v>
      </x:c>
      <x:c r="I400" s="2" t="str">
        <x:v>Recorded as implemented in the source data</x:v>
      </x:c>
      <x:c r="J400" s="2" t="str">
        <x:v>List of self-loading devices that maintain the SDK resolution range</x:v>
      </x:c>
      <x:c r="K400" s="2" t="str">
        <x:v>Subsequent delayed import is cached along the same plugins and withdrawn as instances</x:v>
      </x:c>
      <x:c r="L400" s="2" t="str">
        <x:v>The two sets of labels agree and the original decision is retained; see the original annotations for the action and its association with the root cause.</x:v>
      </x:c>
      <x:c r="M400" s="2" t="str">
        <x:v>https://github.com/openclaw/openclaw/issues/157078</x:v>
      </x:c>
      <x:c r="N400" s="2" t="str">
        <x:v>F02</x:v>
      </x:c>
      <x:c r="O400" s="2" t="str">
        <x:v>Determinate from available evidence</x:v>
      </x:c>
    </x:row>
    <x:row r="401" ht="24" customHeight="1">
      <x:c r="A401" s="2" t="str">
        <x:v>R0127</x:v>
      </x:c>
      <x:c r="B401" s="2" t="str">
        <x:v>openclaw/openclaw</x:v>
      </x:c>
      <x:c r="C401" s="2" t="n">
        <x:v>161739</x:v>
      </x:c>
      <x:c r="D401" s="2" t="str">
        <x:v>C18</x:v>
      </x:c>
      <x:c r="E401" s="2" t="str">
        <x:v>F04</x:v>
      </x:c>
      <x:c r="F401" s="2" t="str">
        <x:v>F04</x:v>
      </x:c>
      <x:c r="G401" s="2" t="str">
        <x:v>F04</x:v>
      </x:c>
      <x:c r="H401" s="2" t="str">
        <x:v>Environment and distribution adaptation</x:v>
      </x:c>
      <x:c r="I401" s="2" t="str">
        <x:v>Recorded as implemented in the source data</x:v>
      </x:c>
      <x:c r="J401" s="2" t="str">
        <x:v>Upgrade fs-safe and Unified Use Clone Replication</x:v>
      </x:c>
      <x:c r="K401" s="2" t="str">
        <x:v>Complementing macOS writing copy capabilities to replace ineffective fd pathway platform shortcuts</x:v>
      </x:c>
      <x:c r="L401" s="2" t="str">
        <x:v>The two sets of labels agree and the original decision is retained; see the original annotations for the action and its association with the root cause.</x:v>
      </x:c>
      <x:c r="M401" s="2" t="str">
        <x:v>https://github.com/openclaw/openclaw/issues/161739</x:v>
      </x:c>
      <x:c r="N401" s="2" t="str">
        <x:v>F04</x:v>
      </x:c>
      <x:c r="O401" s="2" t="str">
        <x:v>Determinate from available evidence</x:v>
      </x:c>
    </x:row>
    <x:row r="402" ht="24" customHeight="1">
      <x:c r="A402" s="2" t="str">
        <x:v>R0128</x:v>
      </x:c>
      <x:c r="B402" s="2" t="str">
        <x:v>openclaw/openclaw</x:v>
      </x:c>
      <x:c r="C402" s="2" t="n">
        <x:v>162880</x:v>
      </x:c>
      <x:c r="D402" s="2" t="str">
        <x:v>C19</x:v>
      </x:c>
      <x:c r="E402" s="2" t="str">
        <x:v>F02</x:v>
      </x:c>
      <x:c r="F402" s="2" t="str">
        <x:v>F02</x:v>
      </x:c>
      <x:c r="G402" s="2" t="str">
        <x:v>F02</x:v>
      </x:c>
      <x:c r="H402" s="2" t="str">
        <x:v>Execution-flow and state correction</x:v>
      </x:c>
      <x:c r="I402" s="2" t="str">
        <x:v>Recorded as implemented in the source data</x:v>
      </x:c>
      <x:c r="J402" s="2" t="str">
        <x:v>Running context method benchmarks for running time delay invocation</x:v>
      </x:c>
      <x:c r="K402" s="2" t="str">
        <x:v>Open set/get/clear on real life cycles to replace retired instances with still-protected readings</x:v>
      </x:c>
      <x:c r="L402" s="2" t="str">
        <x:v>The two sets of labels agree and the original decision is retained; see the original annotations for the action and its association with the root cause.</x:v>
      </x:c>
      <x:c r="M402" s="2" t="str">
        <x:v>https://github.com/openclaw/openclaw/issues/162880</x:v>
      </x:c>
      <x:c r="N402" s="2" t="str">
        <x:v>F02</x:v>
      </x:c>
      <x:c r="O402" s="2" t="str">
        <x:v>Determinate from available evidence</x:v>
      </x:c>
    </x:row>
    <x:row r="403" ht="24" customHeight="1">
      <x:c r="A403" s="2" t="str">
        <x:v>R0251</x:v>
      </x:c>
      <x:c r="B403" s="2" t="str">
        <x:v>langgenius/dify</x:v>
      </x:c>
      <x:c r="C403" s="2" t="n">
        <x:v>5055</x:v>
      </x:c>
      <x:c r="D403" s="2" t="str">
        <x:v>C04</x:v>
      </x:c>
      <x:c r="E403" s="2" t="str">
        <x:v>F01</x:v>
      </x:c>
      <x:c r="F403" s="2" t="str">
        <x:v>F01</x:v>
      </x:c>
      <x:c r="G403" s="2" t="str">
        <x:v>F01</x:v>
      </x:c>
      <x:c r="H403" s="2" t="str">
        <x:v>Representation and usage-contract alignment</x:v>
      </x:c>
      <x:c r="I403" s="2" t="str">
        <x:v>Recorded as implemented in the source data</x:v>
      </x:c>
      <x:c r="J403" s="2" t="str">
        <x:v>Convert tool message to ReAct assistant message and count token</x:v>
      </x:c>
      <x:c r="K403" s="2" t="str">
        <x:v>The message received by the model role is consistent with the actual pattern</x:v>
      </x:c>
      <x:c r="L403" s="2" t="str">
        <x:v>The two sets of labels agree and the original decision is retained; see the original annotations for the action and its association with the root cause.</x:v>
      </x:c>
      <x:c r="M403" s="2" t="str">
        <x:v>https://github.com/langgenius/dify/issues/5055</x:v>
      </x:c>
      <x:c r="N403" s="2" t="str">
        <x:v>F01</x:v>
      </x:c>
      <x:c r="O403" s="2" t="str">
        <x:v>Determinate from available evidence</x:v>
      </x:c>
    </x:row>
    <x:row r="404" ht="48.5" customHeight="1">
      <x:c r="A404" s="2" t="str">
        <x:v>R0254</x:v>
      </x:c>
      <x:c r="B404" s="2" t="str">
        <x:v>langgenius/dify</x:v>
      </x:c>
      <x:c r="C404" s="2" t="n">
        <x:v>5343</x:v>
      </x:c>
      <x:c r="D404" s="2" t="str">
        <x:v>C03</x:v>
      </x:c>
      <x:c r="E404" s="2" t="str">
        <x:v>U1</x:v>
      </x:c>
      <x:c r="F404" s="2" t="str">
        <x:v>U1</x:v>
      </x:c>
      <x:c r="G404" s="2" t="str">
        <x:v>F01</x:v>
      </x:c>
      <x:c r="H404" s="2" t="str">
        <x:v>Representation and usage-contract alignment</x:v>
      </x:c>
      <x:c r="I404" s="2" t="str">
        <x:v>Recorded as implemented in the source data</x:v>
      </x:c>
      <x:c r="J404" s="2" t="str">
        <x:v>Recommended action: Recommended to properly install uploaded image content into ReAct and chat agent model inputs.</x:v>
      </x:c>
      <x:c r="K404" s="2" t="str">
        <x:v>The goal of the fix is to upload image resolution, root cause explicitly omits model input assembly, and the nearest multi-module message indicates that it passes with parameters. This is an additional closest-fit assignment, not an established repair fact.</x:v>
      </x:c>
      <x:c r="L404" s="2" t="str">
        <x:v>One closest-fit strategy is selected as additionally requested.  The goal of the fix is to upload image resolution, root cause explicitly omits model input assembly, and the nearest multi-module message indicates that it passes with parameters. This is an additional closest-fit assignment, not an established repair fact.  The original evidence review is U1; this does not establish that a targeted repair has been verified.</x:v>
      </x:c>
      <x:c r="M404" s="2" t="str">
        <x:v>https://github.com/langgenius/dify/issues/5343</x:v>
      </x:c>
      <x:c r="N404" s="2" t="str">
        <x:v>U1</x:v>
      </x:c>
      <x:c r="O404" s="2" t="str">
        <x:v>Inferred from the primary root cause</x:v>
      </x:c>
    </x:row>
    <x:row r="405" ht="48.5" customHeight="1">
      <x:c r="A405" s="2" t="str">
        <x:v>R0256</x:v>
      </x:c>
      <x:c r="B405" s="2" t="str">
        <x:v>langgenius/dify</x:v>
      </x:c>
      <x:c r="C405" s="2" t="n">
        <x:v>5969</x:v>
      </x:c>
      <x:c r="D405" s="2" t="str">
        <x:v>C06</x:v>
      </x:c>
      <x:c r="E405" s="2" t="str">
        <x:v>F02</x:v>
      </x:c>
      <x:c r="F405" s="2" t="str">
        <x:v>U1</x:v>
      </x:c>
      <x:c r="G405" s="2" t="str">
        <x:v>F02</x:v>
      </x:c>
      <x:c r="H405" s="2" t="str">
        <x:v>Execution-flow and state correction</x:v>
      </x:c>
      <x:c r="I405" s="2" t="str">
        <x:v>Recorded as implemented in the source data</x:v>
      </x:c>
      <x:c r="J405" s="2" t="str">
        <x:v>Recommended Action: Recommended to refresh the local authorization status of the panel with a return configuration after successful saving.</x:v>
      </x:c>
      <x:c r="K405" s="2" t="str">
        <x:v>The abstract is explicitly aimed at data not refreshed after being saved, synchronized with the nearest front-end state, and does not represent a known specific attribution implementation. This is an additional closest-fit assignment, not an established repair fact.</x:v>
      </x:c>
      <x:c r="L405" s="2" t="str">
        <x:v>One closest-fit strategy is selected as additionally requested.  The abstract is explicitly aimed at data not refreshed after being saved, synchronized with the nearest front-end state, and does not represent a known specific attribution implementation. This is an additional closest-fit assignment, not an established repair fact.  The original evidence review is U1; this does not establish that a targeted repair has been verified.</x:v>
      </x:c>
      <x:c r="M405" s="2" t="str">
        <x:v>https://github.com/langgenius/dify/issues/5969</x:v>
      </x:c>
      <x:c r="N405" s="2" t="str">
        <x:v>U1</x:v>
      </x:c>
      <x:c r="O405" s="2" t="str">
        <x:v>Closest fit to the intent described in the summary</x:v>
      </x:c>
    </x:row>
    <x:row r="406" ht="24" customHeight="1">
      <x:c r="A406" s="2" t="str">
        <x:v>R0257</x:v>
      </x:c>
      <x:c r="B406" s="2" t="str">
        <x:v>langgenius/dify</x:v>
      </x:c>
      <x:c r="C406" s="2" t="n">
        <x:v>6857</x:v>
      </x:c>
      <x:c r="D406" s="2" t="str">
        <x:v>C14</x:v>
      </x:c>
      <x:c r="E406" s="2" t="str">
        <x:v>F01</x:v>
      </x:c>
      <x:c r="F406" s="2" t="str">
        <x:v>F01</x:v>
      </x:c>
      <x:c r="G406" s="2" t="str">
        <x:v>F01</x:v>
      </x:c>
      <x:c r="H406" s="2" t="str">
        <x:v>Representation and usage-contract alignment</x:v>
      </x:c>
      <x:c r="I406" s="2" t="str">
        <x:v>Recorded as implemented in the source data</x:v>
      </x:c>
      <x:c r="J406" s="2" t="str">
        <x:v>Remote imagery transmitted with REMOTE_URL marking</x:v>
      </x:c>
      <x:c r="K406" s="2" t="str">
        <x:v>Preventing file consumption at the expense of incorrectly signing URL</x:v>
      </x:c>
      <x:c r="L406" s="2" t="str">
        <x:v>The two sets of labels agree and the original decision is retained; see the original annotations for the action and its association with the root cause.</x:v>
      </x:c>
      <x:c r="M406" s="2" t="str">
        <x:v>https://github.com/langgenius/dify/issues/6857</x:v>
      </x:c>
      <x:c r="N406" s="2" t="str">
        <x:v>F01</x:v>
      </x:c>
      <x:c r="O406" s="2" t="str">
        <x:v>Determinate from available evidence</x:v>
      </x:c>
    </x:row>
    <x:row r="407" ht="48.5" customHeight="1">
      <x:c r="A407" s="2" t="str">
        <x:v>R0259</x:v>
      </x:c>
      <x:c r="B407" s="2" t="str">
        <x:v>langgenius/dify</x:v>
      </x:c>
      <x:c r="C407" s="2" t="n">
        <x:v>7687</x:v>
      </x:c>
      <x:c r="D407" s="2" t="str">
        <x:v>C17</x:v>
      </x:c>
      <x:c r="E407" s="2" t="str">
        <x:v>U1</x:v>
      </x:c>
      <x:c r="F407" s="2" t="str">
        <x:v>U1</x:v>
      </x:c>
      <x:c r="G407" s="2" t="str">
        <x:v>F02</x:v>
      </x:c>
      <x:c r="H407" s="2" t="str">
        <x:v>Execution-flow and state correction</x:v>
      </x:c>
      <x:c r="I407" s="2" t="str">
        <x:v>Recorded as implemented in the source data</x:v>
      </x:c>
      <x:c r="J407" s="2" t="str">
        <x:v>Recommended Action: Recommended to coordinate the timing and preparation of shared libraries to avoid using unstable temporary environments.</x:v>
      </x:c>
      <x:c r="K407" s="2" t="str">
        <x:v>Summary is clear Python Environment race condition ， root cause concurrency Shared library positioning, closest to initialization life cycle and concurrency Coordination.  This is an additional closest-fit assignment, not an established repair fact.</x:v>
      </x:c>
      <x:c r="L407" s="2" t="str">
        <x:v>One closest-fit strategy is selected as additionally requested.  Summary is clear Python Environment race condition ， root cause concurrency Shared library positioning, closest to initialization life cycle and concurrency Coordination.  This is an additional closest-fit assignment, not an established repair fact.  The original evidence review is U1; this does not establish that a targeted repair has been verified.</x:v>
      </x:c>
      <x:c r="M407" s="2" t="str">
        <x:v>https://github.com/langgenius/dify/issues/7687</x:v>
      </x:c>
      <x:c r="N407" s="2" t="str">
        <x:v>U1</x:v>
      </x:c>
      <x:c r="O407" s="2" t="str">
        <x:v>Closest fit to the intent described in the summary</x:v>
      </x:c>
    </x:row>
    <x:row r="408" ht="24" customHeight="1">
      <x:c r="A408" s="2" t="str">
        <x:v>R0265</x:v>
      </x:c>
      <x:c r="B408" s="2" t="str">
        <x:v>langgenius/dify</x:v>
      </x:c>
      <x:c r="C408" s="2" t="n">
        <x:v>10507</x:v>
      </x:c>
      <x:c r="D408" s="2" t="str">
        <x:v>C17</x:v>
      </x:c>
      <x:c r="E408" s="2" t="str">
        <x:v>F04</x:v>
      </x:c>
      <x:c r="F408" s="2" t="str">
        <x:v>F04</x:v>
      </x:c>
      <x:c r="G408" s="2" t="str">
        <x:v>F04</x:v>
      </x:c>
      <x:c r="H408" s="2" t="str">
        <x:v>Environment and distribution adaptation</x:v>
      </x:c>
      <x:c r="I408" s="2" t="str">
        <x:v>Recorded as implemented in the source data</x:v>
      </x:c>
      <x:c r="J408" s="2" t="str">
        <x:v>Upgraded duckduckgo_search depending version</x:v>
      </x:c>
      <x:c r="K408" s="2" t="str">
        <x:v>Acquiring new SDK to solve flow limit compatibility</x:v>
      </x:c>
      <x:c r="L408" s="2" t="str">
        <x:v>The two sets of labels agree and the original decision is retained; see the original annotations for the action and its association with the root cause.</x:v>
      </x:c>
      <x:c r="M408" s="2" t="str">
        <x:v>https://github.com/langgenius/dify/issues/10507</x:v>
      </x:c>
      <x:c r="N408" s="2" t="str">
        <x:v>F04</x:v>
      </x:c>
      <x:c r="O408" s="2" t="str">
        <x:v>Determinate from available evidence</x:v>
      </x:c>
    </x:row>
    <x:row r="409" ht="48.5" customHeight="1">
      <x:c r="A409" s="2" t="str">
        <x:v>R0266</x:v>
      </x:c>
      <x:c r="B409" s="2" t="str">
        <x:v>langgenius/dify</x:v>
      </x:c>
      <x:c r="C409" s="2" t="n">
        <x:v>10639</x:v>
      </x:c>
      <x:c r="D409" s="2" t="str">
        <x:v>C01</x:v>
      </x:c>
      <x:c r="E409" s="2" t="str">
        <x:v>U1</x:v>
      </x:c>
      <x:c r="F409" s="2" t="str">
        <x:v>U1</x:v>
      </x:c>
      <x:c r="G409" s="2" t="str">
        <x:v>F01</x:v>
      </x:c>
      <x:c r="H409" s="2" t="str">
        <x:v>Representation and usage-contract alignment</x:v>
      </x:c>
      <x:c r="I409" s="2" t="str">
        <x:v>Insufficient association evidence</x:v>
      </x:c>
      <x:c r="J409" s="2" t="str">
        <x:v>Recommended Action: Recommended to verify the response encoding and filing of the service, decoding with a consistent protocol and indicating the source of the error.</x:v>
      </x:c>
      <x:c r="K409" s="2" t="str">
        <x:v>The abstract unrelated model submission cannot be adopted; the closest to return format decoding agreement is based on authorization returning Base64 filling errors. This is an additional closest-fit assignment, not an established repair fact.</x:v>
      </x:c>
      <x:c r="L409" s="2" t="str">
        <x:v>One closest-fit strategy is selected as additionally requested.  The abstract unrelated model submission cannot be adopted; the closest to return format decoding agreement is based on authorization returning Base64 filling errors. This is an additional closest-fit assignment, not an established repair fact.  The original evidence review is U1; this does not establish that a targeted repair has been verified.</x:v>
      </x:c>
      <x:c r="M409" s="2" t="str">
        <x:v>https://github.com/langgenius/dify/issues/10639</x:v>
      </x:c>
      <x:c r="N409" s="2" t="str">
        <x:v>U1</x:v>
      </x:c>
      <x:c r="O409" s="2" t="str">
        <x:v>Inferred from the primary root cause</x:v>
      </x:c>
    </x:row>
    <x:row r="410" ht="48.5" customHeight="1">
      <x:c r="A410" s="2" t="str">
        <x:v>R0268</x:v>
      </x:c>
      <x:c r="B410" s="2" t="str">
        <x:v>langgenius/dify</x:v>
      </x:c>
      <x:c r="C410" s="2" t="n">
        <x:v>12168</x:v>
      </x:c>
      <x:c r="D410" s="2" t="str">
        <x:v>C03</x:v>
      </x:c>
      <x:c r="E410" s="2" t="str">
        <x:v>U1</x:v>
      </x:c>
      <x:c r="F410" s="2" t="str">
        <x:v>U1</x:v>
      </x:c>
      <x:c r="G410" s="2" t="str">
        <x:v>F01</x:v>
      </x:c>
      <x:c r="H410" s="2" t="str">
        <x:v>Representation and usage-contract alignment</x:v>
      </x:c>
      <x:c r="I410" s="2" t="str">
        <x:v>Recorded as implemented in the source data</x:v>
      </x:c>
      <x:c r="J410" s="2" t="str">
        <x:v>Recommended Action: Recommended to explicitly transmit credentials to runtime objects during custom tool test invocation.</x:v>
      </x:c>
      <x:c r="K410" s="2" t="str">
        <x:v>The test error headings do not indicate a single change, and according to the known runtime installation omission estimate the interface is most directly transmitted. This is an additional closest-fit assignment, not an established repair fact.</x:v>
      </x:c>
      <x:c r="L410" s="2" t="str">
        <x:v>One closest-fit strategy is selected as additionally requested.  The test error headings do not indicate a single change, and according to the known runtime installation omission estimate the interface is most directly transmitted. This is an additional closest-fit assignment, not an established repair fact.  The original evidence review is U1; this does not establish that a targeted repair has been verified.</x:v>
      </x:c>
      <x:c r="M410" s="2" t="str">
        <x:v>https://github.com/langgenius/dify/issues/12168</x:v>
      </x:c>
      <x:c r="N410" s="2" t="str">
        <x:v>U1</x:v>
      </x:c>
      <x:c r="O410" s="2" t="str">
        <x:v>Inferred from the primary root cause</x:v>
      </x:c>
    </x:row>
    <x:row r="411" ht="48.5" customHeight="1">
      <x:c r="A411" s="2" t="str">
        <x:v>R0272</x:v>
      </x:c>
      <x:c r="B411" s="2" t="str">
        <x:v>langgenius/dify</x:v>
      </x:c>
      <x:c r="C411" s="2" t="n">
        <x:v>15040</x:v>
      </x:c>
      <x:c r="D411" s="2" t="str">
        <x:v>C03</x:v>
      </x:c>
      <x:c r="E411" s="2" t="str">
        <x:v>U1</x:v>
      </x:c>
      <x:c r="F411" s="2" t="str">
        <x:v>U1</x:v>
      </x:c>
      <x:c r="G411" s="2" t="str">
        <x:v>F01</x:v>
      </x:c>
      <x:c r="H411" s="2" t="str">
        <x:v>Representation and usage-contract alignment</x:v>
      </x:c>
      <x:c r="I411" s="2" t="str">
        <x:v>Recorded as implemented in the source data</x:v>
      </x:c>
      <x:c r="J411" s="2" t="str">
        <x:v>Recommended Action: Recommended to pass runtime and session by plug-in interface and unify parameters defined.</x:v>
      </x:c>
      <x:c r="K411" s="2" t="str">
        <x:v>Could not close temporary folder: %s root cause as invoke Missing runtime/session Nearest invocation Field compacts completed.  This is an additional closest-fit assignment, not an established repair fact.</x:v>
      </x:c>
      <x:c r="L411" s="2" t="str">
        <x:v>One closest-fit strategy is selected as additionally requested.  Could not close temporary folder: %s root cause as invoke Missing runtime/session Nearest invocation Field compacts completed.  This is an additional closest-fit assignment, not an established repair fact.  The original evidence review is U1; this does not establish that a targeted repair has been verified.</x:v>
      </x:c>
      <x:c r="M411" s="2" t="str">
        <x:v>https://github.com/langgenius/dify/issues/15040</x:v>
      </x:c>
      <x:c r="N411" s="2" t="str">
        <x:v>U1</x:v>
      </x:c>
      <x:c r="O411" s="2" t="str">
        <x:v>Inferred from the primary root cause</x:v>
      </x:c>
    </x:row>
    <x:row r="412" ht="48.5" customHeight="1">
      <x:c r="A412" s="2" t="str">
        <x:v>R0273</x:v>
      </x:c>
      <x:c r="B412" s="2" t="str">
        <x:v>langgenius/dify</x:v>
      </x:c>
      <x:c r="C412" s="2" t="n">
        <x:v>15159</x:v>
      </x:c>
      <x:c r="D412" s="2" t="str">
        <x:v>C14</x:v>
      </x:c>
      <x:c r="E412" s="2" t="str">
        <x:v>U1</x:v>
      </x:c>
      <x:c r="F412" s="2" t="str">
        <x:v>U1</x:v>
      </x:c>
      <x:c r="G412" s="2" t="str">
        <x:v>F01</x:v>
      </x:c>
      <x:c r="H412" s="2" t="str">
        <x:v>Representation and usage-contract alignment</x:v>
      </x:c>
      <x:c r="I412" s="2" t="str">
        <x:v>Recorded as implemented in the source data</x:v>
      </x:c>
      <x:c r="J412" s="2" t="str">
        <x:v>Suggested actions (presumption): Recommendations text/xml response Process by text body instead of file object.</x:v>
      </x:c>
      <x:c r="K412" s="2" t="str">
        <x:v>The purpose of the abstract is to correct text/xml document judgments that are closest to response media classification and conversion agreements. This is an additional closest-fit assignment, not an established repair fact.</x:v>
      </x:c>
      <x:c r="L412" s="2" t="str">
        <x:v>One closest-fit strategy is selected as additionally requested.  The purpose of the abstract is to correct text/xml document judgments that are closest to response media classification and conversion agreements. This is an additional closest-fit assignment, not an established repair fact.  The original evidence review is U1; this does not establish that a targeted repair has been verified.</x:v>
      </x:c>
      <x:c r="M412" s="2" t="str">
        <x:v>https://github.com/langgenius/dify/issues/15159</x:v>
      </x:c>
      <x:c r="N412" s="2" t="str">
        <x:v>U1</x:v>
      </x:c>
      <x:c r="O412" s="2" t="str">
        <x:v>Closest fit to the intent described in the summary</x:v>
      </x:c>
    </x:row>
    <x:row r="413" ht="35" customHeight="1">
      <x:c r="A413" s="2" t="str">
        <x:v>R0279</x:v>
      </x:c>
      <x:c r="B413" s="2" t="str">
        <x:v>langgenius/dify</x:v>
      </x:c>
      <x:c r="C413" s="2" t="n">
        <x:v>16103</x:v>
      </x:c>
      <x:c r="D413" s="2" t="str">
        <x:v>C04</x:v>
      </x:c>
      <x:c r="E413" s="2" t="str">
        <x:v>U1</x:v>
      </x:c>
      <x:c r="F413" s="2" t="str">
        <x:v>F01</x:v>
      </x:c>
      <x:c r="G413" s="2" t="str">
        <x:v>F01</x:v>
      </x:c>
      <x:c r="H413" s="2" t="str">
        <x:v>Representation and usage-contract alignment</x:v>
      </x:c>
      <x:c r="I413" s="2" t="str">
        <x:v>Recorded as implemented in the source data</x:v>
      </x:c>
      <x:c r="J413" s="2" t="str">
        <x:v>tool suggests switching to Anthropic API</x:v>
      </x:c>
      <x:c r="K413" s="2" t="str">
        <x:v>tool explicitly suggests conversion to Anthropic API, with conversion object-target contracts; supports macro conversion strategies and cannot overwrite undefined schema fields.</x:v>
      </x:c>
      <x:c r="L413" s="2" t="str">
        <x:v>Calculated integrated retrospective: summary explicit tool prompt conversion to Anthropic API, with conversion object and target contract; supports macro conversion strategies and cannot overwrite unproven schema fields.</x:v>
      </x:c>
      <x:c r="M413" s="2" t="str">
        <x:v>https://github.com/langgenius/dify/issues/16103</x:v>
      </x:c>
      <x:c r="N413" s="2" t="str">
        <x:v>F01</x:v>
      </x:c>
      <x:c r="O413" s="2" t="str">
        <x:v>Determinate from available evidence</x:v>
      </x:c>
    </x:row>
    <x:row r="414" ht="48.5" customHeight="1">
      <x:c r="A414" s="2" t="str">
        <x:v>R0282</x:v>
      </x:c>
      <x:c r="B414" s="2" t="str">
        <x:v>langgenius/dify</x:v>
      </x:c>
      <x:c r="C414" s="2" t="n">
        <x:v>17012</x:v>
      </x:c>
      <x:c r="D414" s="2" t="str">
        <x:v>C19</x:v>
      </x:c>
      <x:c r="E414" s="2" t="str">
        <x:v>U1</x:v>
      </x:c>
      <x:c r="F414" s="2" t="str">
        <x:v>U1</x:v>
      </x:c>
      <x:c r="G414" s="2" t="str">
        <x:v>F01</x:v>
      </x:c>
      <x:c r="H414" s="2" t="str">
        <x:v>Representation and usage-contract alignment</x:v>
      </x:c>
      <x:c r="I414" s="2" t="str">
        <x:v>Recorded as implemented in the source data</x:v>
      </x:c>
      <x:c r="J414" s="2" t="str">
        <x:v>Recommended Action: Recommended to complement and pass through the selector's stream-tool-call citations.</x:v>
      </x:c>
      <x:c r="K414" s="2" t="str">
        <x:v>The abstract goal is to restore stream-tool-call optional capabilities that are closest to listing and configuration representations. This is an additional closest-fit assignment, not an established repair fact.</x:v>
      </x:c>
      <x:c r="L414" s="2" t="str">
        <x:v>One closest-fit strategy is selected as additionally requested.  The abstract goal is to restore stream-tool-call optional capabilities that are closest to listing and configuration representations. This is an additional closest-fit assignment, not an established repair fact.  The original evidence review is U1; this does not establish that a targeted repair has been verified.</x:v>
      </x:c>
      <x:c r="M414" s="2" t="str">
        <x:v>https://github.com/langgenius/dify/issues/17012</x:v>
      </x:c>
      <x:c r="N414" s="2" t="str">
        <x:v>U1</x:v>
      </x:c>
      <x:c r="O414" s="2" t="str">
        <x:v>Closest fit to the intent described in the summary</x:v>
      </x:c>
    </x:row>
    <x:row r="415" ht="48.5" customHeight="1">
      <x:c r="A415" s="2" t="str">
        <x:v>R0286</x:v>
      </x:c>
      <x:c r="B415" s="2" t="str">
        <x:v>langgenius/dify</x:v>
      </x:c>
      <x:c r="C415" s="2" t="n">
        <x:v>18276</x:v>
      </x:c>
      <x:c r="D415" s="2" t="str">
        <x:v>C20</x:v>
      </x:c>
      <x:c r="E415" s="2" t="str">
        <x:v>U1</x:v>
      </x:c>
      <x:c r="F415" s="2" t="str">
        <x:v>U1</x:v>
      </x:c>
      <x:c r="G415" s="2" t="str">
        <x:v>F02</x:v>
      </x:c>
      <x:c r="H415" s="2" t="str">
        <x:v>Execution-flow and state correction</x:v>
      </x:c>
      <x:c r="I415" s="2" t="str">
        <x:v>Insufficient association evidence</x:v>
      </x:c>
      <x:c r="J415" s="2" t="str">
        <x:v>Recommended Action: Recommended to schedule the first part, then bottle down the repetition and calibrate the execution budget.</x:v>
      </x:c>
      <x:c r="K415" s="2" t="str">
        <x:v>invocation performance is slow and there is no relevant action, budget and resource regulation governance are recommended to be carried out by the tool continuously, and confidence levels are low. This is an additional closest-fit assignment, not an established repair fact.</x:v>
      </x:c>
      <x:c r="L415" s="2" t="str">
        <x:v>One closest-fit strategy is selected as additionally requested.  invocation performance is slow and there is no relevant action, budget and resource regulation governance are recommended to be carried out by the tool continuously, and confidence levels are low. This is an additional closest-fit assignment, not an established repair fact.  The original evidence review is U1; this does not establish that a targeted repair has been verified.</x:v>
      </x:c>
      <x:c r="M415" s="2" t="str">
        <x:v>https://github.com/langgenius/dify/issues/18276</x:v>
      </x:c>
      <x:c r="N415" s="2" t="str">
        <x:v>U1</x:v>
      </x:c>
      <x:c r="O415" s="2" t="str">
        <x:v>Inferred from the primary root cause</x:v>
      </x:c>
    </x:row>
    <x:row r="416" ht="24" customHeight="1">
      <x:c r="A416" s="2" t="str">
        <x:v>R0287</x:v>
      </x:c>
      <x:c r="B416" s="2" t="str">
        <x:v>langgenius/dify</x:v>
      </x:c>
      <x:c r="C416" s="2" t="n">
        <x:v>18976</x:v>
      </x:c>
      <x:c r="D416" s="2" t="str">
        <x:v>C03</x:v>
      </x:c>
      <x:c r="E416" s="2" t="str">
        <x:v>F01</x:v>
      </x:c>
      <x:c r="F416" s="2" t="str">
        <x:v>F01</x:v>
      </x:c>
      <x:c r="G416" s="2" t="str">
        <x:v>F01</x:v>
      </x:c>
      <x:c r="H416" s="2" t="str">
        <x:v>Representation and usage-contract alignment</x:v>
      </x:c>
      <x:c r="I416" s="2" t="str">
        <x:v>Recorded as implemented in the source data</x:v>
      </x:c>
      <x:c r="J416" s="2" t="str">
        <x:v>Avoid the option request parameters not provided</x:v>
      </x:c>
      <x:c r="K416" s="2" t="str">
        <x:v>Following OpenAPI optional fields miss semantics instead of writing None</x:v>
      </x:c>
      <x:c r="L416" s="2" t="str">
        <x:v>The two sets of labels agree and the original decision is retained; see the original annotations for the action and its association with the root cause.</x:v>
      </x:c>
      <x:c r="M416" s="2" t="str">
        <x:v>https://github.com/langgenius/dify/issues/18976</x:v>
      </x:c>
      <x:c r="N416" s="2" t="str">
        <x:v>F01</x:v>
      </x:c>
      <x:c r="O416" s="2" t="str">
        <x:v>Determinate from available evidence</x:v>
      </x:c>
    </x:row>
    <x:row r="417" ht="24" customHeight="1">
      <x:c r="A417" s="2" t="str">
        <x:v>R0289</x:v>
      </x:c>
      <x:c r="B417" s="2" t="str">
        <x:v>langgenius/dify</x:v>
      </x:c>
      <x:c r="C417" s="2" t="n">
        <x:v>19625</x:v>
      </x:c>
      <x:c r="D417" s="2" t="str">
        <x:v>C01</x:v>
      </x:c>
      <x:c r="E417" s="2" t="str">
        <x:v>F01</x:v>
      </x:c>
      <x:c r="F417" s="2" t="str">
        <x:v>F01</x:v>
      </x:c>
      <x:c r="G417" s="2" t="str">
        <x:v>F01</x:v>
      </x:c>
      <x:c r="H417" s="2" t="str">
        <x:v>Representation and usage-contract alignment</x:v>
      </x:c>
      <x:c r="I417" s="2" t="str">
        <x:v>Recorded as implemented in the source data</x:v>
      </x:c>
      <x:c r="J417" s="2" t="str">
        <x:v>Page readability analysis with readabilipy</x:v>
      </x:c>
      <x:c r="K417" s="2" t="str">
        <x:v>This is a new solution to replace unstable old web reading logic with clear new resolutions.</x:v>
      </x:c>
      <x:c r="L417" s="2" t="str">
        <x:v>The two sets of labels agree and the original decision is retained; see the original annotations for the action and its association with the root cause.</x:v>
      </x:c>
      <x:c r="M417" s="2" t="str">
        <x:v>https://github.com/langgenius/dify/issues/19625</x:v>
      </x:c>
      <x:c r="N417" s="2" t="str">
        <x:v>F01</x:v>
      </x:c>
      <x:c r="O417" s="2" t="str">
        <x:v>Determinate from available evidence</x:v>
      </x:c>
    </x:row>
    <x:row r="418" ht="48.5" customHeight="1">
      <x:c r="A418" s="2" t="str">
        <x:v>R0296</x:v>
      </x:c>
      <x:c r="B418" s="2" t="str">
        <x:v>langgenius/dify</x:v>
      </x:c>
      <x:c r="C418" s="2" t="n">
        <x:v>20719</x:v>
      </x:c>
      <x:c r="D418" s="2" t="str">
        <x:v>C11</x:v>
      </x:c>
      <x:c r="E418" s="2" t="str">
        <x:v>U1</x:v>
      </x:c>
      <x:c r="F418" s="2" t="str">
        <x:v>U1</x:v>
      </x:c>
      <x:c r="G418" s="2" t="str">
        <x:v>F02</x:v>
      </x:c>
      <x:c r="H418" s="2" t="str">
        <x:v>Execution-flow and state correction</x:v>
      </x:c>
      <x:c r="I418" s="2" t="str">
        <x:v>Recorded as implemented in the source data</x:v>
      </x:c>
      <x:c r="J418" s="2" t="str">
        <x:v>Recommended Action: Recommended to save and bind the context session of the associated user before sending parallel work.</x:v>
      </x:c>
      <x:c r="K418" s="2" t="str">
        <x:v>Summary Clearly targeted at parallel user access failures, closest to parallel execution of context transmission synchronized with scope.  This is an additional closest-fit assignment, not an established repair fact.</x:v>
      </x:c>
      <x:c r="L418" s="2" t="str">
        <x:v>One closest-fit strategy is selected as additionally requested.  Summary Clearly targeted at parallel user access failures, closest to parallel execution of context transmission synchronized with scope.  This is an additional closest-fit assignment, not an established repair fact.  The original evidence review is U1; this does not establish that a targeted repair has been verified.</x:v>
      </x:c>
      <x:c r="M418" s="2" t="str">
        <x:v>https://github.com/langgenius/dify/issues/20719</x:v>
      </x:c>
      <x:c r="N418" s="2" t="str">
        <x:v>U1</x:v>
      </x:c>
      <x:c r="O418" s="2" t="str">
        <x:v>Closest fit to the intent described in the summary</x:v>
      </x:c>
    </x:row>
    <x:row r="419" ht="24" customHeight="1">
      <x:c r="A419" s="2" t="str">
        <x:v>R0297</x:v>
      </x:c>
      <x:c r="B419" s="2" t="str">
        <x:v>langgenius/dify</x:v>
      </x:c>
      <x:c r="C419" s="2" t="n">
        <x:v>22179</x:v>
      </x:c>
      <x:c r="D419" s="2" t="str">
        <x:v>C02</x:v>
      </x:c>
      <x:c r="E419" s="2" t="str">
        <x:v>F01</x:v>
      </x:c>
      <x:c r="F419" s="2" t="str">
        <x:v>F01</x:v>
      </x:c>
      <x:c r="G419" s="2" t="str">
        <x:v>F01</x:v>
      </x:c>
      <x:c r="H419" s="2" t="str">
        <x:v>Representation and usage-contract alignment</x:v>
      </x:c>
      <x:c r="I419" s="2" t="str">
        <x:v>Workaround only or existing behavior</x:v>
      </x:c>
      <x:c r="J419" s="2" t="str">
        <x:v>User describes add-ons for database tool</x:v>
      </x:c>
      <x:c r="K419" s="2" t="str">
        <x:v>To describe null to modify strings, directly restore list type contracts</x:v>
      </x:c>
      <x:c r="L419" s="2" t="str">
        <x:v>The two sets of labels agree and the original decision is retained; see the original annotations for the action and its association with the root cause.</x:v>
      </x:c>
      <x:c r="M419" s="2" t="str">
        <x:v>https://github.com/langgenius/dify/issues/22179</x:v>
      </x:c>
      <x:c r="N419" s="2" t="str">
        <x:v>F01</x:v>
      </x:c>
      <x:c r="O419" s="2" t="str">
        <x:v>Determinate from available evidence</x:v>
      </x:c>
    </x:row>
    <x:row r="420" ht="24" customHeight="1">
      <x:c r="A420" s="2" t="str">
        <x:v>R0298</x:v>
      </x:c>
      <x:c r="B420" s="2" t="str">
        <x:v>langgenius/dify</x:v>
      </x:c>
      <x:c r="C420" s="2" t="n">
        <x:v>22888</x:v>
      </x:c>
      <x:c r="D420" s="2" t="str">
        <x:v>C02</x:v>
      </x:c>
      <x:c r="E420" s="2" t="str">
        <x:v>F03</x:v>
      </x:c>
      <x:c r="F420" s="2" t="str">
        <x:v>F03</x:v>
      </x:c>
      <x:c r="G420" s="2" t="str">
        <x:v>F03</x:v>
      </x:c>
      <x:c r="H420" s="2" t="str">
        <x:v>Validation and failure-path hardening</x:v>
      </x:c>
      <x:c r="I420" s="2" t="str">
        <x:v>Recorded as implemented in the source data</x:v>
      </x:c>
      <x:c r="J420" s="2" t="str">
        <x:v>Check text for strings before finding variables</x:v>
      </x:c>
      <x:c r="K420" s="2" t="str">
        <x:v>Deny import array invocation match It causes a breakdown</x:v>
      </x:c>
      <x:c r="L420" s="2" t="str">
        <x:v>The two sets of labels agree and the original decision is retained; see the original annotations for the action and its association with the root cause.</x:v>
      </x:c>
      <x:c r="M420" s="2" t="str">
        <x:v>https://github.com/langgenius/dify/issues/22888</x:v>
      </x:c>
      <x:c r="N420" s="2" t="str">
        <x:v>F03</x:v>
      </x:c>
      <x:c r="O420" s="2" t="str">
        <x:v>Determinate from available evidence</x:v>
      </x:c>
    </x:row>
    <x:row r="421" ht="48.5" customHeight="1">
      <x:c r="A421" s="2" t="str">
        <x:v>R0299</x:v>
      </x:c>
      <x:c r="B421" s="2" t="str">
        <x:v>langgenius/dify</x:v>
      </x:c>
      <x:c r="C421" s="2" t="n">
        <x:v>23082</x:v>
      </x:c>
      <x:c r="D421" s="2" t="str">
        <x:v>C12</x:v>
      </x:c>
      <x:c r="E421" s="2" t="str">
        <x:v>F01</x:v>
      </x:c>
      <x:c r="F421" s="2" t="str">
        <x:v>U1</x:v>
      </x:c>
      <x:c r="G421" s="2" t="str">
        <x:v>F01</x:v>
      </x:c>
      <x:c r="H421" s="2" t="str">
        <x:v>Representation and usage-contract alignment</x:v>
      </x:c>
      <x:c r="I421" s="2" t="str">
        <x:v>Recorded as implemented in the source data</x:v>
      </x:c>
      <x:c r="J421" s="2" t="str">
        <x:v>Recommended action: Recommended to bind with null merger instead of true fallback, retaining 0.</x:v>
      </x:c>
      <x:c r="K421" s="2" t="str">
        <x:v>Summary The clear goal is to show the legal digit zero, closest to the value semantics, and not illegal entry denial. This is an additional closest-fit assignment, not an established repair fact.</x:v>
      </x:c>
      <x:c r="L421" s="2" t="str">
        <x:v>One closest-fit strategy is selected as additionally requested.  Summary The clear goal is to show the legal digit zero, closest to the value semantics, and not illegal entry denial. This is an additional closest-fit assignment, not an established repair fact.  The original evidence review is U1; this does not establish that a targeted repair has been verified.</x:v>
      </x:c>
      <x:c r="M421" s="2" t="str">
        <x:v>https://github.com/langgenius/dify/issues/23082</x:v>
      </x:c>
      <x:c r="N421" s="2" t="str">
        <x:v>U1</x:v>
      </x:c>
      <x:c r="O421" s="2" t="str">
        <x:v>Closest fit to the intent described in the summary</x:v>
      </x:c>
    </x:row>
    <x:row r="422" ht="24" customHeight="1">
      <x:c r="A422" s="2" t="str">
        <x:v>R0301</x:v>
      </x:c>
      <x:c r="B422" s="2" t="str">
        <x:v>langgenius/dify</x:v>
      </x:c>
      <x:c r="C422" s="2" t="n">
        <x:v>23400</x:v>
      </x:c>
      <x:c r="D422" s="2" t="str">
        <x:v>C02</x:v>
      </x:c>
      <x:c r="E422" s="2" t="str">
        <x:v>F01</x:v>
      </x:c>
      <x:c r="F422" s="2" t="str">
        <x:v>F01</x:v>
      </x:c>
      <x:c r="G422" s="2" t="str">
        <x:v>F01</x:v>
      </x:c>
      <x:c r="H422" s="2" t="str">
        <x:v>Representation and usage-contract alignment</x:v>
      </x:c>
      <x:c r="I422" s="2" t="str">
        <x:v>Workaround only or existing behavior</x:v>
      </x:c>
      <x:c r="J422" s="2" t="str">
        <x:v>Variables defined using array packet references</x:v>
      </x:c>
      <x:c r="K422" s="2" t="str">
        <x:v>Use direct instructions to show the string to change the date list.</x:v>
      </x:c>
      <x:c r="L422" s="2" t="str">
        <x:v>The two sets of labels agree and the original decision is retained; see the original annotations for the action and its association with the root cause.</x:v>
      </x:c>
      <x:c r="M422" s="2" t="str">
        <x:v>https://github.com/langgenius/dify/issues/23400</x:v>
      </x:c>
      <x:c r="N422" s="2" t="str">
        <x:v>F01</x:v>
      </x:c>
      <x:c r="O422" s="2" t="str">
        <x:v>Determinate from available evidence</x:v>
      </x:c>
    </x:row>
    <x:row r="423" ht="24" customHeight="1">
      <x:c r="A423" s="2" t="str">
        <x:v>R0303</x:v>
      </x:c>
      <x:c r="B423" s="2" t="str">
        <x:v>langgenius/dify</x:v>
      </x:c>
      <x:c r="C423" s="2" t="n">
        <x:v>23973</x:v>
      </x:c>
      <x:c r="D423" s="2" t="str">
        <x:v>C01</x:v>
      </x:c>
      <x:c r="E423" s="2" t="str">
        <x:v>F03</x:v>
      </x:c>
      <x:c r="F423" s="2" t="str">
        <x:v>F03</x:v>
      </x:c>
      <x:c r="G423" s="2" t="str">
        <x:v>F03</x:v>
      </x:c>
      <x:c r="H423" s="2" t="str">
        <x:v>Validation and failure-path hardening</x:v>
      </x:c>
      <x:c r="I423" s="2" t="str">
        <x:v>Candidate change not merged</x:v>
      </x:c>
      <x:c r="J423" s="2" t="str">
        <x:v>Repair template variable JSON curve</x:v>
      </x:c>
      <x:c r="K423" s="2" t="str">
        <x:v>fork Candidates for abnormality JSON Provision repair Processing</x:v>
      </x:c>
      <x:c r="L423" s="2" t="str">
        <x:v>The two sets of labels agree and the original decision is retained; see the original annotations for the action and its association with the root cause.</x:v>
      </x:c>
      <x:c r="M423" s="2" t="str">
        <x:v>https://github.com/langgenius/dify/issues/23973</x:v>
      </x:c>
      <x:c r="N423" s="2" t="str">
        <x:v>F03</x:v>
      </x:c>
      <x:c r="O423" s="2" t="str">
        <x:v>Determinate from available evidence</x:v>
      </x:c>
    </x:row>
    <x:row r="424" ht="24" customHeight="1">
      <x:c r="A424" s="2" t="str">
        <x:v>R0304</x:v>
      </x:c>
      <x:c r="B424" s="2" t="str">
        <x:v>langgenius/dify</x:v>
      </x:c>
      <x:c r="C424" s="2" t="n">
        <x:v>24059</x:v>
      </x:c>
      <x:c r="D424" s="2" t="str">
        <x:v>C14</x:v>
      </x:c>
      <x:c r="E424" s="2" t="str">
        <x:v>F01</x:v>
      </x:c>
      <x:c r="F424" s="2" t="str">
        <x:v>F01</x:v>
      </x:c>
      <x:c r="G424" s="2" t="str">
        <x:v>F01</x:v>
      </x:c>
      <x:c r="H424" s="2" t="str">
        <x:v>Representation and usage-contract alignment</x:v>
      </x:c>
      <x:c r="I424" s="2" t="str">
        <x:v>Recorded as implemented in the source data</x:v>
      </x:c>
      <x:c r="J424" s="2" t="str">
        <x:v>The rollback will use the LINK as a branch of the management file.</x:v>
      </x:c>
      <x:c r="K424" s="2" t="str">
        <x:v>Returning URL messages that originally indicated consumption appointments to avoid empty UUID checklists</x:v>
      </x:c>
      <x:c r="L424" s="2" t="str">
        <x:v>The two sets of labels agree and the original decision is retained; see the original annotations for the action and its association with the root cause.</x:v>
      </x:c>
      <x:c r="M424" s="2" t="str">
        <x:v>https://github.com/langgenius/dify/issues/24059</x:v>
      </x:c>
      <x:c r="N424" s="2" t="str">
        <x:v>F01</x:v>
      </x:c>
      <x:c r="O424" s="2" t="str">
        <x:v>Determinate from available evidence</x:v>
      </x:c>
    </x:row>
    <x:row r="425" ht="48.5" customHeight="1">
      <x:c r="A425" s="2" t="str">
        <x:v>R0305</x:v>
      </x:c>
      <x:c r="B425" s="2" t="str">
        <x:v>langgenius/dify</x:v>
      </x:c>
      <x:c r="C425" s="2" t="n">
        <x:v>24598</x:v>
      </x:c>
      <x:c r="D425" s="2" t="str">
        <x:v>C24</x:v>
      </x:c>
      <x:c r="E425" s="2" t="str">
        <x:v>U1</x:v>
      </x:c>
      <x:c r="F425" s="2" t="str">
        <x:v>F02</x:v>
      </x:c>
      <x:c r="G425" s="2" t="str">
        <x:v>F02</x:v>
      </x:c>
      <x:c r="H425" s="2" t="str">
        <x:v>Execution-flow and state correction</x:v>
      </x:c>
      <x:c r="I425" s="2" t="str">
        <x:v>Recorded as implemented in the source data</x:v>
      </x:c>
      <x:c r="J425" s="2" t="str">
        <x:v>Recommended action: Recommended to obtain the required user metrics during a valid session and then pass on to the generating process.</x:v>
      </x:c>
      <x:c r="K425" s="2" t="str">
        <x:v>Abstract Objective: Clearly avoid off-season ORM access, closest to database object lifecycle management; specific caching metrics or session extensions are not disclosed.  This is an additional closest-fit assignment, not an established repair fact.</x:v>
      </x:c>
      <x:c r="L425" s="2" t="str">
        <x:v>One closest-fit strategy is selected as additionally requested.  Abstract Objective: Clearly avoid off-season ORM access, closest to database object lifecycle management; specific caching metrics or session extensions are not disclosed.  This is an additional closest-fit assignment, not an established repair fact.  The original evidence review is U1; this does not establish that a targeted repair has been verified.</x:v>
      </x:c>
      <x:c r="M425" s="2" t="str">
        <x:v>https://github.com/langgenius/dify/issues/24598</x:v>
      </x:c>
      <x:c r="N425" s="2" t="str">
        <x:v>U1</x:v>
      </x:c>
      <x:c r="O425" s="2" t="str">
        <x:v>Closest fit to the intent described in the summary</x:v>
      </x:c>
    </x:row>
    <x:row r="426" ht="24" customHeight="1">
      <x:c r="A426" s="2" t="str">
        <x:v>R0307</x:v>
      </x:c>
      <x:c r="B426" s="2" t="str">
        <x:v>langgenius/dify</x:v>
      </x:c>
      <x:c r="C426" s="2" t="n">
        <x:v>24979</x:v>
      </x:c>
      <x:c r="D426" s="2" t="str">
        <x:v>C19</x:v>
      </x:c>
      <x:c r="E426" s="2" t="str">
        <x:v>F01</x:v>
      </x:c>
      <x:c r="F426" s="2" t="str">
        <x:v>F01</x:v>
      </x:c>
      <x:c r="G426" s="2" t="str">
        <x:v>F01</x:v>
      </x:c>
      <x:c r="H426" s="2" t="str">
        <x:v>Representation and usage-contract alignment</x:v>
      </x:c>
      <x:c r="I426" s="2" t="str">
        <x:v>Recorded as implemented in the source data</x:v>
      </x:c>
      <x:c r="J426" s="2" t="str">
        <x:v>Delete the Boolean control type switch with checkbox mapping</x:v>
      </x:c>
      <x:c r="K426" s="2" t="str">
        <x:v>The front-end Bullet form indicates that it is in compliance with the actual input control</x:v>
      </x:c>
      <x:c r="L426" s="2" t="str">
        <x:v>The two sets of labels agree and the original decision is retained; see the original annotations for the action and its association with the root cause.</x:v>
      </x:c>
      <x:c r="M426" s="2" t="str">
        <x:v>https://github.com/langgenius/dify/issues/24979</x:v>
      </x:c>
      <x:c r="N426" s="2" t="str">
        <x:v>F01</x:v>
      </x:c>
      <x:c r="O426" s="2" t="str">
        <x:v>Determinate from available evidence</x:v>
      </x:c>
    </x:row>
    <x:row r="427" ht="24" customHeight="1">
      <x:c r="A427" s="2" t="str">
        <x:v>R0309</x:v>
      </x:c>
      <x:c r="B427" s="2" t="str">
        <x:v>langgenius/dify</x:v>
      </x:c>
      <x:c r="C427" s="2" t="n">
        <x:v>25258</x:v>
      </x:c>
      <x:c r="D427" s="2" t="str">
        <x:v>C06</x:v>
      </x:c>
      <x:c r="E427" s="2" t="str">
        <x:v>F02</x:v>
      </x:c>
      <x:c r="F427" s="2" t="str">
        <x:v>F02</x:v>
      </x:c>
      <x:c r="G427" s="2" t="str">
        <x:v>F02</x:v>
      </x:c>
      <x:c r="H427" s="2" t="str">
        <x:v>Execution-flow and state correction</x:v>
      </x:c>
      <x:c r="I427" s="2" t="str">
        <x:v>Recorded as implemented in the source data</x:v>
      </x:c>
      <x:c r="J427" s="2" t="str">
        <x:v>MCP requests to set the current login user context</x:v>
      </x:c>
      <x:c r="K427" s="2" t="str">
        <x:v>Sub-workflow to read the status of its running user</x:v>
      </x:c>
      <x:c r="L427" s="2" t="str">
        <x:v>The two sets of labels agree and the original decision is retained; see the original annotations for the action and its association with the root cause.</x:v>
      </x:c>
      <x:c r="M427" s="2" t="str">
        <x:v>https://github.com/langgenius/dify/issues/25258</x:v>
      </x:c>
      <x:c r="N427" s="2" t="str">
        <x:v>F02</x:v>
      </x:c>
      <x:c r="O427" s="2" t="str">
        <x:v>Determinate from available evidence</x:v>
      </x:c>
    </x:row>
    <x:row r="428" ht="48.5" customHeight="1">
      <x:c r="A428" s="2" t="str">
        <x:v>R0317</x:v>
      </x:c>
      <x:c r="B428" s="2" t="str">
        <x:v>langgenius/dify</x:v>
      </x:c>
      <x:c r="C428" s="2" t="n">
        <x:v>28491</x:v>
      </x:c>
      <x:c r="D428" s="2" t="str">
        <x:v>C04</x:v>
      </x:c>
      <x:c r="E428" s="2" t="str">
        <x:v>U1</x:v>
      </x:c>
      <x:c r="F428" s="2" t="str">
        <x:v>U1</x:v>
      </x:c>
      <x:c r="G428" s="2" t="str">
        <x:v>F01</x:v>
      </x:c>
      <x:c r="H428" s="2" t="str">
        <x:v>Representation and usage-contract alignment</x:v>
      </x:c>
      <x:c r="I428" s="2" t="str">
        <x:v>Insufficient association evidence</x:v>
      </x:c>
      <x:c r="J428" s="2" t="str">
        <x:v>Recommended Action: Recommended to merge the complete JSON and then do a downstream analysis by tool invocation boundary.</x:v>
      </x:c>
      <x:c r="K428" s="2" t="str">
        <x:v>time tool Quote &amp; Fluid JSON irrelevant; existing malfunctions are incomplete or mixed JSON, closest to flow protocol assembly.  This is an additional closest-fit assignment, not an established repair fact.</x:v>
      </x:c>
      <x:c r="L428" s="2" t="str">
        <x:v>One closest-fit strategy is selected as additionally requested.  time tool Quote &amp; Fluid JSON irrelevant; existing malfunctions are incomplete or mixed JSON, closest to flow protocol assembly.  This is an additional closest-fit assignment, not an established repair fact.  The original evidence review is U1; this does not establish that a targeted repair has been verified.</x:v>
      </x:c>
      <x:c r="M428" s="2" t="str">
        <x:v>https://github.com/langgenius/dify/issues/28491</x:v>
      </x:c>
      <x:c r="N428" s="2" t="str">
        <x:v>U1</x:v>
      </x:c>
      <x:c r="O428" s="2" t="str">
        <x:v>Inferred from the primary root cause</x:v>
      </x:c>
    </x:row>
    <x:row r="429" ht="24" customHeight="1">
      <x:c r="A429" s="2" t="str">
        <x:v>R0327</x:v>
      </x:c>
      <x:c r="B429" s="2" t="str">
        <x:v>langgenius/dify</x:v>
      </x:c>
      <x:c r="C429" s="2" t="n">
        <x:v>33626</x:v>
      </x:c>
      <x:c r="D429" s="2" t="str">
        <x:v>C07</x:v>
      </x:c>
      <x:c r="E429" s="2" t="str">
        <x:v>F02</x:v>
      </x:c>
      <x:c r="F429" s="2" t="str">
        <x:v>F02</x:v>
      </x:c>
      <x:c r="G429" s="2" t="str">
        <x:v>F02</x:v>
      </x:c>
      <x:c r="H429" s="2" t="str">
        <x:v>Execution-flow and state correction</x:v>
      </x:c>
      <x:c r="I429" s="2" t="str">
        <x:v>Recorded as implemented in the source data</x:v>
      </x:c>
      <x:c r="J429" s="2" t="str">
        <x:v>Refresh service names and descriptions from workflow in the absence of explicit description</x:v>
      </x:c>
      <x:c r="K429" s="2" t="str">
        <x:v>Keep MCP service status updated with workflow</x:v>
      </x:c>
      <x:c r="L429" s="2" t="str">
        <x:v>The two sets of labels agree and the original decision is retained; see the original annotations for the action and its association with the root cause.</x:v>
      </x:c>
      <x:c r="M429" s="2" t="str">
        <x:v>https://github.com/langgenius/dify/issues/33626</x:v>
      </x:c>
      <x:c r="N429" s="2" t="str">
        <x:v>F02</x:v>
      </x:c>
      <x:c r="O429" s="2" t="str">
        <x:v>Determinate from available evidence</x:v>
      </x:c>
    </x:row>
    <x:row r="430" ht="48.5" customHeight="1">
      <x:c r="A430" s="2" t="str">
        <x:v>R0328</x:v>
      </x:c>
      <x:c r="B430" s="2" t="str">
        <x:v>langgenius/dify</x:v>
      </x:c>
      <x:c r="C430" s="2" t="n">
        <x:v>34446</x:v>
      </x:c>
      <x:c r="D430" s="2" t="str">
        <x:v>C11</x:v>
      </x:c>
      <x:c r="E430" s="2" t="str">
        <x:v>U1</x:v>
      </x:c>
      <x:c r="F430" s="2" t="str">
        <x:v>U1</x:v>
      </x:c>
      <x:c r="G430" s="2" t="str">
        <x:v>F02</x:v>
      </x:c>
      <x:c r="H430" s="2" t="str">
        <x:v>Execution-flow and state correction</x:v>
      </x:c>
      <x:c r="I430" s="2" t="str">
        <x:v>Insufficient association evidence</x:v>
      </x:c>
      <x:c r="J430" s="2" t="str">
        <x:v>Suggested action (presumption): Waiting Skill tool It's finished refilling and then it's terminated Agent Node and submit final text</x:v>
      </x:c>
      <x:c r="K430" s="2" t="str">
        <x:v>The fixed main root cause is first that the tool result has not been fully replenished, and then that it needs to be reconstructed in order of completion and progression of the output of the text; supplementing content is another related flaw. Closest-fit inference only.</x:v>
      </x:c>
      <x:c r="L430" s="2" t="str">
        <x:v>One closest-fit strategy is selected as additionally requested.  The fixed main root cause is first that the tool result has not been fully replenished, and then that it needs to be reconstructed in order of completion and progression of the output of the text; supplementing content is another related flaw. Closest-fit inference only.  The original evidence review is U1; this does not establish that a targeted repair has been verified.</x:v>
      </x:c>
      <x:c r="M430" s="2" t="str">
        <x:v>https://github.com/langgenius/dify/issues/34446</x:v>
      </x:c>
      <x:c r="N430" s="2" t="str">
        <x:v>U1</x:v>
      </x:c>
      <x:c r="O430" s="2" t="str">
        <x:v>Inferred from the primary root cause</x:v>
      </x:c>
    </x:row>
    <x:row r="431" ht="24" customHeight="1">
      <x:c r="A431" s="2" t="str">
        <x:v>R0332</x:v>
      </x:c>
      <x:c r="B431" s="2" t="str">
        <x:v>langgenius/dify</x:v>
      </x:c>
      <x:c r="C431" s="2" t="n">
        <x:v>38050</x:v>
      </x:c>
      <x:c r="D431" s="2" t="str">
        <x:v>C20</x:v>
      </x:c>
      <x:c r="E431" s="2" t="str">
        <x:v>F02</x:v>
      </x:c>
      <x:c r="F431" s="2" t="str">
        <x:v>F02</x:v>
      </x:c>
      <x:c r="G431" s="2" t="str">
        <x:v>F02</x:v>
      </x:c>
      <x:c r="H431" s="2" t="str">
        <x:v>Execution-flow and state correction</x:v>
      </x:c>
      <x:c r="I431" s="2" t="str">
        <x:v>Candidate change not merged</x:v>
      </x:c>
      <x:c r="J431" s="2" t="str">
        <x:v>Three limited LRU's converted to unlimited caching</x:v>
      </x:c>
      <x:c r="K431" s="2" t="str">
        <x:v>Reduced entry mutual expulsion and repeat concurrency open files</x:v>
      </x:c>
      <x:c r="L431" s="2" t="str">
        <x:v>The two sets of labels agree and the original decision is retained; see the original annotations for the action and its association with the root cause.</x:v>
      </x:c>
      <x:c r="M431" s="2" t="str">
        <x:v>https://github.com/langgenius/dify/issues/38050</x:v>
      </x:c>
      <x:c r="N431" s="2" t="str">
        <x:v>F02</x:v>
      </x:c>
      <x:c r="O431" s="2" t="str">
        <x:v>Determinate from available evidence</x:v>
      </x:c>
    </x:row>
    <x:row r="432" ht="35" customHeight="1">
      <x:c r="A432" s="2" t="str">
        <x:v>R0333</x:v>
      </x:c>
      <x:c r="B432" s="2" t="str">
        <x:v>langgenius/dify</x:v>
      </x:c>
      <x:c r="C432" s="2" t="n">
        <x:v>38085</x:v>
      </x:c>
      <x:c r="D432" s="2" t="str">
        <x:v>C13</x:v>
      </x:c>
      <x:c r="E432" s="2" t="str">
        <x:v>F03</x:v>
      </x:c>
      <x:c r="F432" s="2" t="str">
        <x:v>F03</x:v>
      </x:c>
      <x:c r="G432" s="2" t="str">
        <x:v>F03</x:v>
      </x:c>
      <x:c r="H432" s="2" t="str">
        <x:v>Validation and failure-path hardening</x:v>
      </x:c>
      <x:c r="I432" s="2" t="str">
        <x:v>Implementation status pending verification</x:v>
      </x:c>
      <x:c r="J432" s="2" t="str">
        <x:v>Only catch JSON analysis and values of abnormalities and record the police report</x:v>
      </x:c>
      <x:c r="K432" s="2" t="str">
        <x:v>Zoom Out except Capture range and completion warning actions clear;source only closed Not merged ， implementation status To be verified.</x:v>
      </x:c>
      <x:c r="L432" s="2" t="str">
        <x:v>After computation, integrated retest: shrink except capture range and complete warning action clearly; source only remembers closed instead of merged, implementation status to verify.</x:v>
      </x:c>
      <x:c r="M432" s="2" t="str">
        <x:v>https://github.com/langgenius/dify/issues/38085</x:v>
      </x:c>
      <x:c r="N432" s="2" t="str">
        <x:v>F03</x:v>
      </x:c>
      <x:c r="O432" s="2" t="str">
        <x:v>Determinate from available evidence</x:v>
      </x:c>
    </x:row>
    <x:row r="433" ht="24" customHeight="1">
      <x:c r="A433" s="2" t="str">
        <x:v>R0334</x:v>
      </x:c>
      <x:c r="B433" s="2" t="str">
        <x:v>langgenius/dify</x:v>
      </x:c>
      <x:c r="C433" s="2" t="n">
        <x:v>41042</x:v>
      </x:c>
      <x:c r="D433" s="2" t="str">
        <x:v>C20</x:v>
      </x:c>
      <x:c r="E433" s="2" t="str">
        <x:v>F02</x:v>
      </x:c>
      <x:c r="F433" s="2" t="str">
        <x:v>F02</x:v>
      </x:c>
      <x:c r="G433" s="2" t="str">
        <x:v>F02</x:v>
      </x:c>
      <x:c r="H433" s="2" t="str">
        <x:v>Execution-flow and state correction</x:v>
      </x:c>
      <x:c r="I433" s="2" t="str">
        <x:v>Recorded as implemented in the source data</x:v>
      </x:c>
      <x:c r="J433" s="2" t="str">
        <x:v>Redirecting timeout budgets in and out and allowing environmental coverage</x:v>
      </x:c>
      <x:c r="K433" s="2" t="str">
        <x:v>Externals wait long enough to receive internal upload results and fix budget nestings</x:v>
      </x:c>
      <x:c r="L433" s="2" t="str">
        <x:v>The two sets of labels agree and the original decision is retained; see the original annotations for the action and its association with the root cause.</x:v>
      </x:c>
      <x:c r="M433" s="2" t="str">
        <x:v>https://github.com/langgenius/dify/issues/41042</x:v>
      </x:c>
      <x:c r="N433" s="2" t="str">
        <x:v>F02</x:v>
      </x:c>
      <x:c r="O433" s="2" t="str">
        <x:v>Determinate from available evidence</x:v>
      </x:c>
    </x:row>
    <x:row r="434" ht="24" customHeight="1">
      <x:c r="A434" s="2" t="str">
        <x:v>R0335</x:v>
      </x:c>
      <x:c r="B434" s="2" t="str">
        <x:v>langgenius/dify</x:v>
      </x:c>
      <x:c r="C434" s="2" t="n">
        <x:v>41169</x:v>
      </x:c>
      <x:c r="D434" s="2" t="str">
        <x:v>C14</x:v>
      </x:c>
      <x:c r="E434" s="2" t="str">
        <x:v>F03</x:v>
      </x:c>
      <x:c r="F434" s="2" t="str">
        <x:v>F03</x:v>
      </x:c>
      <x:c r="G434" s="2" t="str">
        <x:v>F03</x:v>
      </x:c>
      <x:c r="H434" s="2" t="str">
        <x:v>Validation and failure-path hardening</x:v>
      </x:c>
      <x:c r="I434" s="2" t="str">
        <x:v>Partial coverage</x:v>
      </x:c>
      <x:c r="J434" s="2" t="str">
        <x:v>This round of tool files are granted access to subsequent nodes</x:v>
      </x:c>
      <x:c r="K434" s="2" t="str">
        <x:v>Correction of the EndUser scope inconsistent with authorization boundaries that legal documents cannot be read</x:v>
      </x:c>
      <x:c r="L434" s="2" t="str">
        <x:v>The two sets of labels agree and the original decision is retained; see the original annotations for the action and its association with the root cause.</x:v>
      </x:c>
      <x:c r="M434" s="2" t="str">
        <x:v>https://github.com/langgenius/dify/issues/41169</x:v>
      </x:c>
      <x:c r="N434" s="2" t="str">
        <x:v>F03</x:v>
      </x:c>
      <x:c r="O434" s="2" t="str">
        <x:v>Determinate from available evidence</x:v>
      </x:c>
    </x:row>
    <x:row r="435" ht="48.5" customHeight="1">
      <x:c r="A435" s="2" t="str">
        <x:v>R0337</x:v>
      </x:c>
      <x:c r="B435" s="2" t="str">
        <x:v>langgenius/dify</x:v>
      </x:c>
      <x:c r="C435" s="2" t="n">
        <x:v>42388</x:v>
      </x:c>
      <x:c r="D435" s="2" t="str">
        <x:v>C06</x:v>
      </x:c>
      <x:c r="E435" s="2" t="str">
        <x:v>U1</x:v>
      </x:c>
      <x:c r="F435" s="2" t="str">
        <x:v>F02</x:v>
      </x:c>
      <x:c r="G435" s="2" t="str">
        <x:v>F02</x:v>
      </x:c>
      <x:c r="H435" s="2" t="str">
        <x:v>Execution-flow and state correction</x:v>
      </x:c>
      <x:c r="I435" s="2" t="str">
        <x:v>Recorded as implemented in the source data</x:v>
      </x:c>
      <x:c r="J435" s="2" t="str">
        <x:v>Recommended action: Remove the old status of the default and refresh the relevant query, allowing the same name to be added again.</x:v>
      </x:c>
      <x:c r="K435" s="2" t="str">
        <x:v>Abstract has Skill removing recruitment and query strategy adjustment targets, closest to management status failures and rediscovery.  This is an additional closest-fit assignment, not an established repair fact.</x:v>
      </x:c>
      <x:c r="L435" s="2" t="str">
        <x:v>One closest-fit strategy is selected as additionally requested.  Abstract has Skill removing recruitment and query strategy adjustment targets, closest to management status failures and rediscovery.  This is an additional closest-fit assignment, not an established repair fact.  The original evidence review is U1; this does not establish that a targeted repair has been verified.</x:v>
      </x:c>
      <x:c r="M435" s="2" t="str">
        <x:v>https://github.com/langgenius/dify/issues/42388</x:v>
      </x:c>
      <x:c r="N435" s="2" t="str">
        <x:v>U1</x:v>
      </x:c>
      <x:c r="O435" s="2" t="str">
        <x:v>Closest fit to the intent described in the summary</x:v>
      </x:c>
    </x:row>
    <x:row r="436" ht="48.5" customHeight="1">
      <x:c r="A436" s="2" t="str">
        <x:v>R0341</x:v>
      </x:c>
      <x:c r="B436" s="2" t="str">
        <x:v>open-webui/open-webui</x:v>
      </x:c>
      <x:c r="C436" s="2" t="n">
        <x:v>12705</x:v>
      </x:c>
      <x:c r="D436" s="2" t="str">
        <x:v>C08</x:v>
      </x:c>
      <x:c r="E436" s="2" t="str">
        <x:v>U1</x:v>
      </x:c>
      <x:c r="F436" s="2" t="str">
        <x:v>U1</x:v>
      </x:c>
      <x:c r="G436" s="2" t="str">
        <x:v>F02</x:v>
      </x:c>
      <x:c r="H436" s="2" t="str">
        <x:v>Execution-flow and state correction</x:v>
      </x:c>
      <x:c r="I436" s="2" t="str">
        <x:v>Recorded as implemented in the source data</x:v>
      </x:c>
      <x:c r="J436" s="2" t="str">
        <x:v>Recommended action: It is recommended to inject RAG templates only when the tool needs document context for this time. </x:v>
      </x:c>
      <x:c r="K436" s="2" t="str">
        <x:v>The refac headline has no specific action, and the root cause recommends that context select process corrections by injecting RAG unconditionally. This is an additional closest-fit assignment, not an established repair fact.</x:v>
      </x:c>
      <x:c r="L436" s="2" t="str">
        <x:v>One closest-fit strategy is selected as additionally requested.  The refac headline has no specific action, and the root cause recommends that context select process corrections by injecting RAG unconditionally. This is an additional closest-fit assignment, not an established repair fact.  The original evidence review is U1; this does not establish that a targeted repair has been verified.</x:v>
      </x:c>
      <x:c r="M436" s="2" t="str">
        <x:v>https://github.com/open-webui/open-webui/issues/12705</x:v>
      </x:c>
      <x:c r="N436" s="2" t="str">
        <x:v>U1</x:v>
      </x:c>
      <x:c r="O436" s="2" t="str">
        <x:v>Inferred from the primary root cause</x:v>
      </x:c>
    </x:row>
    <x:row r="437" ht="24" customHeight="1">
      <x:c r="A437" s="2" t="str">
        <x:v>R0345</x:v>
      </x:c>
      <x:c r="B437" s="2" t="str">
        <x:v>open-webui/open-webui</x:v>
      </x:c>
      <x:c r="C437" s="2" t="n">
        <x:v>14115</x:v>
      </x:c>
      <x:c r="D437" s="2" t="str">
        <x:v>C02</x:v>
      </x:c>
      <x:c r="E437" s="2" t="str">
        <x:v>F01</x:v>
      </x:c>
      <x:c r="F437" s="2" t="str">
        <x:v>F01</x:v>
      </x:c>
      <x:c r="G437" s="2" t="str">
        <x:v>F01</x:v>
      </x:c>
      <x:c r="H437" s="2" t="str">
        <x:v>Representation and usage-contract alignment</x:v>
      </x:c>
      <x:c r="I437" s="2" t="str">
        <x:v>Recorded as implemented in the source data</x:v>
      </x:c>
      <x:c r="J437" s="2" t="str">
        <x:v>Matrix parameters schema supplemented by items fields</x:v>
      </x:c>
      <x:c r="K437" s="2" t="str">
        <x:v>Complete function parameters defined to generate OpenAI acceptable</x:v>
      </x:c>
      <x:c r="L437" s="2" t="str">
        <x:v>The two sets of labels agree and the original decision is retained; see the original annotations for the action and its association with the root cause.</x:v>
      </x:c>
      <x:c r="M437" s="2" t="str">
        <x:v>https://github.com/open-webui/open-webui/issues/14115</x:v>
      </x:c>
      <x:c r="N437" s="2" t="str">
        <x:v>F01</x:v>
      </x:c>
      <x:c r="O437" s="2" t="str">
        <x:v>Determinate from available evidence</x:v>
      </x:c>
    </x:row>
    <x:row r="438" ht="24" customHeight="1">
      <x:c r="A438" s="2" t="str">
        <x:v>R0348</x:v>
      </x:c>
      <x:c r="B438" s="2" t="str">
        <x:v>open-webui/open-webui</x:v>
      </x:c>
      <x:c r="C438" s="2" t="n">
        <x:v>16393</x:v>
      </x:c>
      <x:c r="D438" s="2" t="str">
        <x:v>C03</x:v>
      </x:c>
      <x:c r="E438" s="2" t="str">
        <x:v>F01</x:v>
      </x:c>
      <x:c r="F438" s="2" t="str">
        <x:v>F01</x:v>
      </x:c>
      <x:c r="G438" s="2" t="str">
        <x:v>F01</x:v>
      </x:c>
      <x:c r="H438" s="2" t="str">
        <x:v>Representation and usage-contract alignment</x:v>
      </x:c>
      <x:c r="I438" s="2" t="str">
        <x:v>Recorded as implemented in the source data</x:v>
      </x:c>
      <x:c r="J438" s="2" t="str">
        <x:v>Modify the search function's real entry order</x:v>
      </x:c>
      <x:c r="K438" s="2" t="str">
        <x:v>Putting parameters such as domain name filtering lists to the signature's corresponding position</x:v>
      </x:c>
      <x:c r="L438" s="2" t="str">
        <x:v>The two sets of labels agree and the original decision is retained; see the original annotations for the action and its association with the root cause.</x:v>
      </x:c>
      <x:c r="M438" s="2" t="str">
        <x:v>https://github.com/open-webui/open-webui/issues/16393</x:v>
      </x:c>
      <x:c r="N438" s="2" t="str">
        <x:v>F01</x:v>
      </x:c>
      <x:c r="O438" s="2" t="str">
        <x:v>Determinate from available evidence</x:v>
      </x:c>
    </x:row>
    <x:row r="439" ht="24" customHeight="1">
      <x:c r="A439" s="2" t="str">
        <x:v>R0357</x:v>
      </x:c>
      <x:c r="B439" s="2" t="str">
        <x:v>open-webui/open-webui</x:v>
      </x:c>
      <x:c r="C439" s="2" t="n">
        <x:v>19733</x:v>
      </x:c>
      <x:c r="D439" s="2" t="str">
        <x:v>C02</x:v>
      </x:c>
      <x:c r="E439" s="2" t="str">
        <x:v>F01</x:v>
      </x:c>
      <x:c r="F439" s="2" t="str">
        <x:v>F01</x:v>
      </x:c>
      <x:c r="G439" s="2" t="str">
        <x:v>F01</x:v>
      </x:c>
      <x:c r="H439" s="2" t="str">
        <x:v>Representation and usage-contract alignment</x:v>
      </x:c>
      <x:c r="I439" s="2" t="str">
        <x:v>Recorded as implemented in the source data</x:v>
      </x:c>
      <x:c r="J439" s="2" t="str">
        <x:v>from response webpage Field extraction list then filter</x:v>
      </x:c>
      <x:c r="K439" s="2" t="str">
        <x:v>Use get_filtered_results to consume lists instead of dictionary keys</x:v>
      </x:c>
      <x:c r="L439" s="2" t="str">
        <x:v>The two sets of labels agree and the original decision is retained; see the original annotations for the action and its association with the root cause.</x:v>
      </x:c>
      <x:c r="M439" s="2" t="str">
        <x:v>https://github.com/open-webui/open-webui/issues/19733</x:v>
      </x:c>
      <x:c r="N439" s="2" t="str">
        <x:v>F01</x:v>
      </x:c>
      <x:c r="O439" s="2" t="str">
        <x:v>Determinate from available evidence</x:v>
      </x:c>
    </x:row>
    <x:row r="440" ht="48.5" customHeight="1">
      <x:c r="A440" s="2" t="str">
        <x:v>R0359</x:v>
      </x:c>
      <x:c r="B440" s="2" t="str">
        <x:v>open-webui/open-webui</x:v>
      </x:c>
      <x:c r="C440" s="2" t="n">
        <x:v>20237</x:v>
      </x:c>
      <x:c r="D440" s="2" t="str">
        <x:v>C03</x:v>
      </x:c>
      <x:c r="E440" s="2" t="str">
        <x:v>U1</x:v>
      </x:c>
      <x:c r="F440" s="2" t="str">
        <x:v>U1</x:v>
      </x:c>
      <x:c r="G440" s="2" t="str">
        <x:v>F01</x:v>
      </x:c>
      <x:c r="H440" s="2" t="str">
        <x:v>Representation and usage-contract alignment</x:v>
      </x:c>
      <x:c r="I440" s="2" t="str">
        <x:v>Recorded as implemented in the source data</x:v>
      </x:c>
      <x:c r="J440" s="2" t="str">
        <x:v>Recommended action: Recommended to carry uploaded image information and send editing requests to edit endpoints.</x:v>
      </x:c>
      <x:c r="K440" s="2" t="str">
        <x:v>abstract explicitly uploads image editing objectives, root cause misplaces the output endpoint for the leaked raw graph and aligns the nearest request field with API semantics.  This is an additional closest-fit assignment, not an established repair fact.</x:v>
      </x:c>
      <x:c r="L440" s="2" t="str">
        <x:v>One closest-fit strategy is selected as additionally requested.  abstract explicitly uploads image editing objectives, root cause misplaces the output endpoint for the leaked raw graph and aligns the nearest request field with API semantics.  This is an additional closest-fit assignment, not an established repair fact.  The original evidence review is U1; this does not establish that a targeted repair has been verified.</x:v>
      </x:c>
      <x:c r="M440" s="2" t="str">
        <x:v>https://github.com/open-webui/open-webui/issues/20237</x:v>
      </x:c>
      <x:c r="N440" s="2" t="str">
        <x:v>U1</x:v>
      </x:c>
      <x:c r="O440" s="2" t="str">
        <x:v>Inferred from the primary root cause</x:v>
      </x:c>
    </x:row>
    <x:row r="441" ht="35" customHeight="1">
      <x:c r="A441" s="2" t="str">
        <x:v>R0361</x:v>
      </x:c>
      <x:c r="B441" s="2" t="str">
        <x:v>open-webui/open-webui</x:v>
      </x:c>
      <x:c r="C441" s="2" t="n">
        <x:v>20847</x:v>
      </x:c>
      <x:c r="D441" s="2" t="str">
        <x:v>C15</x:v>
      </x:c>
      <x:c r="E441" s="2" t="str">
        <x:v>F03</x:v>
      </x:c>
      <x:c r="F441" s="2" t="str">
        <x:v>F03</x:v>
      </x:c>
      <x:c r="G441" s="2" t="str">
        <x:v>F03</x:v>
      </x:c>
      <x:c r="H441" s="2" t="str">
        <x:v>Validation and failure-path hardening</x:v>
      </x:c>
      <x:c r="I441" s="2" t="str">
        <x:v>Partial coverage</x:v>
      </x:c>
      <x:c r="J441" s="2" t="str">
        <x:v>Ban OAuth tool Set as Default Enable</x:v>
      </x:c>
      <x:c r="K441" s="2" t="str">
        <x:v>dev Ban OAuth tool Become Default tool In protective doors; follow-up automatic authentication Listed only as relevant, not for first time authentication Chain complete overlay.</x:v>
      </x:c>
      <x:c r="L441" s="2" t="str">
        <x:v>Quote and check back: dev Ban OAuth tool Become Default tool In protective doors; follow-up automatic authentication Listed only as relevant, not for first time authentication Chain complete overlay.</x:v>
      </x:c>
      <x:c r="M441" s="2" t="str">
        <x:v>https://github.com/open-webui/open-webui/issues/20847</x:v>
      </x:c>
      <x:c r="N441" s="2" t="str">
        <x:v>F03</x:v>
      </x:c>
      <x:c r="O441" s="2" t="str">
        <x:v>Determinate from available evidence</x:v>
      </x:c>
    </x:row>
    <x:row r="442" ht="24" customHeight="1">
      <x:c r="A442" s="2" t="str">
        <x:v>R0362</x:v>
      </x:c>
      <x:c r="B442" s="2" t="str">
        <x:v>open-webui/open-webui</x:v>
      </x:c>
      <x:c r="C442" s="2" t="n">
        <x:v>21179</x:v>
      </x:c>
      <x:c r="D442" s="2" t="str">
        <x:v>C01</x:v>
      </x:c>
      <x:c r="E442" s="2" t="str">
        <x:v>F01</x:v>
      </x:c>
      <x:c r="F442" s="2" t="str">
        <x:v>F01</x:v>
      </x:c>
      <x:c r="G442" s="2" t="str">
        <x:v>F01</x:v>
      </x:c>
      <x:c r="H442" s="2" t="str">
        <x:v>Representation and usage-contract alignment</x:v>
      </x:c>
      <x:c r="I442" s="2" t="str">
        <x:v>Recorded as implemented in the source data</x:v>
      </x:c>
      <x:c r="J442" s="2" t="str">
        <x:v>Save the MCP server address with tail slider</x:v>
      </x:c>
      <x:c r="K442" s="2" t="str">
        <x:v>Avoiding URL standardization that changes actual endpoints and leads to weight orientation for identification</x:v>
      </x:c>
      <x:c r="L442" s="2" t="str">
        <x:v>The two sets of labels agree and the original decision is retained; see the original annotations for the action and its association with the root cause.</x:v>
      </x:c>
      <x:c r="M442" s="2" t="str">
        <x:v>https://github.com/open-webui/open-webui/issues/21179</x:v>
      </x:c>
      <x:c r="N442" s="2" t="str">
        <x:v>F01</x:v>
      </x:c>
      <x:c r="O442" s="2" t="str">
        <x:v>Determinate from available evidence</x:v>
      </x:c>
    </x:row>
    <x:row r="443" ht="24" customHeight="1">
      <x:c r="A443" s="2" t="str">
        <x:v>R0367</x:v>
      </x:c>
      <x:c r="B443" s="2" t="str">
        <x:v>open-webui/open-webui</x:v>
      </x:c>
      <x:c r="C443" s="2" t="n">
        <x:v>22994</x:v>
      </x:c>
      <x:c r="D443" s="2" t="str">
        <x:v>C06</x:v>
      </x:c>
      <x:c r="E443" s="2" t="str">
        <x:v>F02</x:v>
      </x:c>
      <x:c r="F443" s="2" t="str">
        <x:v>F02</x:v>
      </x:c>
      <x:c r="G443" s="2" t="str">
        <x:v>F02</x:v>
      </x:c>
      <x:c r="H443" s="2" t="str">
        <x:v>Execution-flow and state correction</x:v>
      </x:c>
      <x:c r="I443" s="2" t="str">
        <x:v>Implementation status pending verification</x:v>
      </x:c>
      <x:c r="J443" s="2" t="str">
        <x:v>OAuth returns to chat and restores tool</x:v>
      </x:c>
      <x:c r="K443" s="2" t="str">
        <x:v>Synchronous authorization completes the state of switching with interaction</x:v>
      </x:c>
      <x:c r="L443" s="2" t="str">
        <x:v>The two sets of labels agree and the original decision is retained; see the original annotations for the action and its association with the root cause.</x:v>
      </x:c>
      <x:c r="M443" s="2" t="str">
        <x:v>https://github.com/open-webui/open-webui/issues/22994</x:v>
      </x:c>
      <x:c r="N443" s="2" t="str">
        <x:v>F02</x:v>
      </x:c>
      <x:c r="O443" s="2" t="str">
        <x:v>Determinate from available evidence</x:v>
      </x:c>
    </x:row>
    <x:row r="444" ht="24" customHeight="1">
      <x:c r="A444" s="2" t="str">
        <x:v>R0368</x:v>
      </x:c>
      <x:c r="B444" s="2" t="str">
        <x:v>open-webui/open-webui</x:v>
      </x:c>
      <x:c r="C444" s="2" t="n">
        <x:v>23269</x:v>
      </x:c>
      <x:c r="D444" s="2" t="str">
        <x:v>C08</x:v>
      </x:c>
      <x:c r="E444" s="2" t="str">
        <x:v>F01</x:v>
      </x:c>
      <x:c r="F444" s="2" t="str">
        <x:v>F01</x:v>
      </x:c>
      <x:c r="G444" s="2" t="str">
        <x:v>F01</x:v>
      </x:c>
      <x:c r="H444" s="2" t="str">
        <x:v>Representation and usage-contract alignment</x:v>
      </x:c>
      <x:c r="I444" s="2" t="str">
        <x:v>Recorded as implemented in the source data</x:v>
      </x:c>
      <x:c r="J444" s="2" t="str">
        <x:v>Static interpreter prompts to move system prompts</x:v>
      </x:c>
      <x:c r="K444" s="2" t="str">
        <x:v>Keeping the user's historical contents consistent and avoiding temporary contamination of end-user messages</x:v>
      </x:c>
      <x:c r="L444" s="2" t="str">
        <x:v>The two sets of labels agree and the original decision is retained; see the original annotations for the action and its association with the root cause.</x:v>
      </x:c>
      <x:c r="M444" s="2" t="str">
        <x:v>https://github.com/open-webui/open-webui/issues/23269</x:v>
      </x:c>
      <x:c r="N444" s="2" t="str">
        <x:v>F01</x:v>
      </x:c>
      <x:c r="O444" s="2" t="str">
        <x:v>Determinate from available evidence</x:v>
      </x:c>
    </x:row>
    <x:row r="445" ht="48.5" customHeight="1">
      <x:c r="A445" s="2" t="str">
        <x:v>R0369</x:v>
      </x:c>
      <x:c r="B445" s="2" t="str">
        <x:v>open-webui/open-webui</x:v>
      </x:c>
      <x:c r="C445" s="2" t="n">
        <x:v>23668</x:v>
      </x:c>
      <x:c r="D445" s="2" t="str">
        <x:v>C16</x:v>
      </x:c>
      <x:c r="E445" s="2" t="str">
        <x:v>U1</x:v>
      </x:c>
      <x:c r="F445" s="2" t="str">
        <x:v>F01</x:v>
      </x:c>
      <x:c r="G445" s="2" t="str">
        <x:v>F02</x:v>
      </x:c>
      <x:c r="H445" s="2" t="str">
        <x:v>Execution-flow and state correction</x:v>
      </x:c>
      <x:c r="I445" s="2" t="str">
        <x:v>Insufficient association evidence</x:v>
      </x:c>
      <x:c r="J445" s="2" t="str">
        <x:v>Recommended action: Recommended to specify the priorities of custom scope, resource metadata and authorization server default scope.</x:v>
      </x:c>
      <x:c r="K445" s="2" t="str">
        <x:v>Summary explicitly converted to resource metadata scope, closest to the configuration source selection; manager custom values are still unsupported.  This is an additional closest-fit assignment, not an established repair fact.</x:v>
      </x:c>
      <x:c r="L445" s="2" t="str">
        <x:v>One closest-fit strategy is selected as additionally requested.  Summary explicitly converted to resource metadata scope, closest to the configuration source selection; manager custom values are still unsupported.  This is an additional closest-fit assignment, not an established repair fact.  The original evidence review is U1; this does not establish that a targeted repair has been verified.</x:v>
      </x:c>
      <x:c r="M445" s="2" t="str">
        <x:v>https://github.com/open-webui/open-webui/issues/23668</x:v>
      </x:c>
      <x:c r="N445" s="2" t="str">
        <x:v>U1</x:v>
      </x:c>
      <x:c r="O445" s="2" t="str">
        <x:v>Closest fit to the intent described in the summary</x:v>
      </x:c>
    </x:row>
    <x:row r="446" ht="48.5" customHeight="1">
      <x:c r="A446" s="2" t="str">
        <x:v>R0372</x:v>
      </x:c>
      <x:c r="B446" s="2" t="str">
        <x:v>open-webui/open-webui</x:v>
      </x:c>
      <x:c r="C446" s="2" t="n">
        <x:v>24163</x:v>
      </x:c>
      <x:c r="D446" s="2" t="str">
        <x:v>C16</x:v>
      </x:c>
      <x:c r="E446" s="2" t="str">
        <x:v>U1</x:v>
      </x:c>
      <x:c r="F446" s="2" t="str">
        <x:v>U1</x:v>
      </x:c>
      <x:c r="G446" s="2" t="str">
        <x:v>F02</x:v>
      </x:c>
      <x:c r="H446" s="2" t="str">
        <x:v>Execution-flow and state correction</x:v>
      </x:c>
      <x:c r="I446" s="2" t="str">
        <x:v>Insufficient association evidence</x:v>
      </x:c>
      <x:c r="J446" s="2" t="str">
        <x:v>Recommended action: Recommended to switch from persistent configuration initialization capability and save unmodified fields.</x:v>
      </x:c>
      <x:c r="K446" s="2" t="str">
        <x:v>Abstract only config.py row numbers, root cause recommended state hydration and preservation synchronized by the default value of the form covering DB.  This is an additional closest-fit assignment, not an established repair fact.</x:v>
      </x:c>
      <x:c r="L446" s="2" t="str">
        <x:v>One closest-fit strategy is selected as additionally requested.  Abstract only config.py row numbers, root cause recommended state hydration and preservation synchronized by the default value of the form covering DB.  This is an additional closest-fit assignment, not an established repair fact.  The original evidence review is U1; this does not establish that a targeted repair has been verified.</x:v>
      </x:c>
      <x:c r="M446" s="2" t="str">
        <x:v>https://github.com/open-webui/open-webui/issues/24163</x:v>
      </x:c>
      <x:c r="N446" s="2" t="str">
        <x:v>U1</x:v>
      </x:c>
      <x:c r="O446" s="2" t="str">
        <x:v>Inferred from the primary root cause</x:v>
      </x:c>
    </x:row>
    <x:row r="447" ht="24" customHeight="1">
      <x:c r="A447" s="2" t="str">
        <x:v>R0378</x:v>
      </x:c>
      <x:c r="B447" s="2" t="str">
        <x:v>open-webui/open-webui</x:v>
      </x:c>
      <x:c r="C447" s="2" t="n">
        <x:v>25710</x:v>
      </x:c>
      <x:c r="D447" s="2" t="str">
        <x:v>C10</x:v>
      </x:c>
      <x:c r="E447" s="2" t="str">
        <x:v>F02</x:v>
      </x:c>
      <x:c r="F447" s="2" t="str">
        <x:v>F02</x:v>
      </x:c>
      <x:c r="G447" s="2" t="str">
        <x:v>F02</x:v>
      </x:c>
      <x:c r="H447" s="2" t="str">
        <x:v>Execution-flow and state correction</x:v>
      </x:c>
      <x:c r="I447" s="2" t="str">
        <x:v>Recorded as implemented in the source data</x:v>
      </x:c>
      <x:c r="J447" s="2" t="str">
        <x:v>Web page retrieval entries added explicitly re-query branches</x:v>
      </x:c>
      <x:c r="K447" s="2" t="str">
        <x:v>Let the search results of a collection be entered into model context along the distribution process</x:v>
      </x:c>
      <x:c r="L447" s="2" t="str">
        <x:v>The two sets of labels agree and the original decision is retained; see the original annotations for the action and its association with the root cause.</x:v>
      </x:c>
      <x:c r="M447" s="2" t="str">
        <x:v>https://github.com/open-webui/open-webui/issues/25710</x:v>
      </x:c>
      <x:c r="N447" s="2" t="str">
        <x:v>F02</x:v>
      </x:c>
      <x:c r="O447" s="2" t="str">
        <x:v>Determinate from available evidence</x:v>
      </x:c>
    </x:row>
    <x:row r="448" ht="24" customHeight="1">
      <x:c r="A448" s="2" t="str">
        <x:v>R0379</x:v>
      </x:c>
      <x:c r="B448" s="2" t="str">
        <x:v>open-webui/open-webui</x:v>
      </x:c>
      <x:c r="C448" s="2" t="n">
        <x:v>26079</x:v>
      </x:c>
      <x:c r="D448" s="2" t="str">
        <x:v>C10</x:v>
      </x:c>
      <x:c r="E448" s="2" t="str">
        <x:v>F03</x:v>
      </x:c>
      <x:c r="F448" s="2" t="str">
        <x:v>F03</x:v>
      </x:c>
      <x:c r="G448" s="2" t="str">
        <x:v>F03</x:v>
      </x:c>
      <x:c r="H448" s="2" t="str">
        <x:v>Validation and failure-path hardening</x:v>
      </x:c>
      <x:c r="I448" s="2" t="str">
        <x:v>Recorded as implemented in the source data</x:v>
      </x:c>
      <x:c r="J448" s="2" t="str">
        <x:v>Each URL individually catches anomalies and continues to load</x:v>
      </x:c>
      <x:c r="K448" s="2" t="str">
        <x:v>First address error no longer exits the full wheel, error taped to source</x:v>
      </x:c>
      <x:c r="L448" s="2" t="str">
        <x:v>The two sets of labels agree and the original decision is retained; see the original annotations for the action and its association with the root cause.</x:v>
      </x:c>
      <x:c r="M448" s="2" t="str">
        <x:v>https://github.com/open-webui/open-webui/issues/26079</x:v>
      </x:c>
      <x:c r="N448" s="2" t="str">
        <x:v>F03</x:v>
      </x:c>
      <x:c r="O448" s="2" t="str">
        <x:v>Determinate from available evidence</x:v>
      </x:c>
    </x:row>
    <x:row r="449" ht="35" customHeight="1">
      <x:c r="A449" s="2" t="str">
        <x:v>R0382</x:v>
      </x:c>
      <x:c r="B449" s="2" t="str">
        <x:v>open-webui/open-webui</x:v>
      </x:c>
      <x:c r="C449" s="2" t="n">
        <x:v>27081</x:v>
      </x:c>
      <x:c r="D449" s="2" t="str">
        <x:v>C01</x:v>
      </x:c>
      <x:c r="E449" s="2" t="str">
        <x:v>F03</x:v>
      </x:c>
      <x:c r="F449" s="2" t="str">
        <x:v>F01</x:v>
      </x:c>
      <x:c r="G449" s="2" t="str">
        <x:v>F03</x:v>
      </x:c>
      <x:c r="H449" s="2" t="str">
        <x:v>Validation and failure-path hardening</x:v>
      </x:c>
      <x:c r="I449" s="2" t="str">
        <x:v>Recorded as implemented in the source data</x:v>
      </x:c>
      <x:c r="J449" s="2" t="str">
        <x:v>Reserving the code base after checking and deleting the proxy characters</x:v>
      </x:c>
      <x:c r="K449" s="2" t="str">
        <x:v>Adding detection, removal and coding to the base of a nationwide illegal proxy character cleans the input boundary, not the normal code conversion. </x:v>
      </x:c>
      <x:c r="L449" s="2" t="str">
        <x:v>After computation, integrated backchecking: Adding detection, deletion and coding basics for illegal proxy characters across the country, cleansing the input boundary, not converting the normal code. </x:v>
      </x:c>
      <x:c r="M449" s="2" t="str">
        <x:v>https://github.com/open-webui/open-webui/issues/27081</x:v>
      </x:c>
      <x:c r="N449" s="2" t="str">
        <x:v>F03</x:v>
      </x:c>
      <x:c r="O449" s="2" t="str">
        <x:v>Determinate from available evidence</x:v>
      </x:c>
    </x:row>
    <x:row r="450" ht="24" customHeight="1">
      <x:c r="A450" s="2" t="str">
        <x:v>R0384</x:v>
      </x:c>
      <x:c r="B450" s="2" t="str">
        <x:v>open-webui/open-webui</x:v>
      </x:c>
      <x:c r="C450" s="2" t="n">
        <x:v>29040</x:v>
      </x:c>
      <x:c r="D450" s="2" t="str">
        <x:v>C05</x:v>
      </x:c>
      <x:c r="E450" s="2" t="str">
        <x:v>F01</x:v>
      </x:c>
      <x:c r="F450" s="2" t="str">
        <x:v>F01</x:v>
      </x:c>
      <x:c r="G450" s="2" t="str">
        <x:v>F01</x:v>
      </x:c>
      <x:c r="H450" s="2" t="str">
        <x:v>Representation and usage-contract alignment</x:v>
      </x:c>
      <x:c r="I450" s="2" t="str">
        <x:v>Recorded as implemented in the source data</x:v>
      </x:c>
      <x:c r="J450" s="2" t="str">
        <x:v>Removing the overdraft message allocation</x:v>
      </x:c>
      <x:c r="K450" s="2" t="str">
        <x:v>Keeping the index of output at the front and back ends consistent, preventing thinking about writing the correct item</x:v>
      </x:c>
      <x:c r="L450" s="2" t="str">
        <x:v>The two sets of labels agree and the original decision is retained; see the original annotations for the action and its association with the root cause.</x:v>
      </x:c>
      <x:c r="M450" s="2" t="str">
        <x:v>https://github.com/open-webui/open-webui/issues/29040</x:v>
      </x:c>
      <x:c r="N450" s="2" t="str">
        <x:v>F01</x:v>
      </x:c>
      <x:c r="O450" s="2" t="str">
        <x:v>Determinate from available evidence</x:v>
      </x:c>
    </x:row>
    <x:row r="451" ht="24" customHeight="1">
      <x:c r="A451" s="2" t="str">
        <x:v>R0385</x:v>
      </x:c>
      <x:c r="B451" s="2" t="str">
        <x:v>open-webui/open-webui</x:v>
      </x:c>
      <x:c r="C451" s="2" t="n">
        <x:v>29134</x:v>
      </x:c>
      <x:c r="D451" s="2" t="str">
        <x:v>C14</x:v>
      </x:c>
      <x:c r="E451" s="2" t="str">
        <x:v>F02</x:v>
      </x:c>
      <x:c r="F451" s="2" t="str">
        <x:v>F02</x:v>
      </x:c>
      <x:c r="G451" s="2" t="str">
        <x:v>F02</x:v>
      </x:c>
      <x:c r="H451" s="2" t="str">
        <x:v>Execution-flow and state correction</x:v>
      </x:c>
      <x:c r="I451" s="2" t="str">
        <x:v>Recorded as implemented in the source data</x:v>
      </x:c>
      <x:c r="J451" s="2" t="str">
        <x:v>File events saved to channel messages</x:v>
      </x:c>
      <x:c r="K451" s="2" t="str">
        <x:v>Delivery chain of missing file incidents</x:v>
      </x:c>
      <x:c r="L451" s="2" t="str">
        <x:v>The two sets of labels agree and the original decision is retained; see the original annotations for the action and its association with the root cause.</x:v>
      </x:c>
      <x:c r="M451" s="2" t="str">
        <x:v>https://github.com/open-webui/open-webui/issues/29134</x:v>
      </x:c>
      <x:c r="N451" s="2" t="str">
        <x:v>F02</x:v>
      </x:c>
      <x:c r="O451" s="2" t="str">
        <x:v>Determinate from available evidence</x:v>
      </x:c>
    </x:row>
    <x:row r="452" ht="24" customHeight="1">
      <x:c r="A452" s="2" t="str">
        <x:v>R0386</x:v>
      </x:c>
      <x:c r="B452" s="2" t="str">
        <x:v>open-webui/open-webui</x:v>
      </x:c>
      <x:c r="C452" s="2" t="n">
        <x:v>31411</x:v>
      </x:c>
      <x:c r="D452" s="2" t="str">
        <x:v>C05</x:v>
      </x:c>
      <x:c r="E452" s="2" t="str">
        <x:v>F01</x:v>
      </x:c>
      <x:c r="F452" s="2" t="str">
        <x:v>F01</x:v>
      </x:c>
      <x:c r="G452" s="2" t="str">
        <x:v>F01</x:v>
      </x:c>
      <x:c r="H452" s="2" t="str">
        <x:v>Representation and usage-contract alignment</x:v>
      </x:c>
      <x:c r="I452" s="2" t="str">
        <x:v>Implementation status pending verification</x:v>
      </x:c>
      <x:c r="J452" s="2" t="str">
        <x:v>Annex ID with associated messages</x:v>
      </x:c>
      <x:c r="K452" s="2" t="str">
        <x:v>zip mismatching, stable static association, replacing the compression front and back position</x:v>
      </x:c>
      <x:c r="L452" s="2" t="str">
        <x:v>The two sets of labels agree and the original decision is retained; see the original annotations for the action and its association with the root cause.</x:v>
      </x:c>
      <x:c r="M452" s="2" t="str">
        <x:v>https://github.com/open-webui/open-webui/issues/31411</x:v>
      </x:c>
      <x:c r="N452" s="2" t="str">
        <x:v>F01</x:v>
      </x:c>
      <x:c r="O452" s="2" t="str">
        <x:v>Determinate from available evidence</x:v>
      </x:c>
    </x:row>
    <x:row r="453" ht="24" customHeight="1">
      <x:c r="A453" s="2" t="str">
        <x:v>R0387</x:v>
      </x:c>
      <x:c r="B453" s="2" t="str">
        <x:v>open-webui/open-webui</x:v>
      </x:c>
      <x:c r="C453" s="2" t="n">
        <x:v>31566</x:v>
      </x:c>
      <x:c r="D453" s="2" t="str">
        <x:v>C06</x:v>
      </x:c>
      <x:c r="E453" s="2" t="str">
        <x:v>F02</x:v>
      </x:c>
      <x:c r="F453" s="2" t="str">
        <x:v>F02</x:v>
      </x:c>
      <x:c r="G453" s="2" t="str">
        <x:v>F02</x:v>
      </x:c>
      <x:c r="H453" s="2" t="str">
        <x:v>Execution-flow and state correction</x:v>
      </x:c>
      <x:c r="I453" s="2" t="str">
        <x:v>Recorded as implemented in the source data</x:v>
      </x:c>
      <x:c r="J453" s="2" t="str">
        <x:v>Background results arrive instantly showing to current chat</x:v>
      </x:c>
      <x:c r="K453" s="2" t="str">
        <x:v>Keep the message status updated with subagent and timing results</x:v>
      </x:c>
      <x:c r="L453" s="2" t="str">
        <x:v>The two sets of labels agree and the original decision is retained; see the original annotations for the action and its association with the root cause.</x:v>
      </x:c>
      <x:c r="M453" s="2" t="str">
        <x:v>https://github.com/open-webui/open-webui/issues/31566</x:v>
      </x:c>
      <x:c r="N453" s="2" t="str">
        <x:v>F02</x:v>
      </x:c>
      <x:c r="O453" s="2" t="str">
        <x:v>Determinate from available evidence</x:v>
      </x:c>
    </x:row>
    <x:row r="454" ht="35" customHeight="1">
      <x:c r="A454" s="2" t="str">
        <x:v>R0391</x:v>
      </x:c>
      <x:c r="B454" s="2" t="str">
        <x:v>earendil-works/pi</x:v>
      </x:c>
      <x:c r="C454" s="2" t="n">
        <x:v>128</x:v>
      </x:c>
      <x:c r="D454" s="2" t="str">
        <x:v>C20</x:v>
      </x:c>
      <x:c r="E454" s="2" t="str">
        <x:v>F03</x:v>
      </x:c>
      <x:c r="F454" s="2" t="str">
        <x:v>F02</x:v>
      </x:c>
      <x:c r="G454" s="2" t="str">
        <x:v>F02</x:v>
      </x:c>
      <x:c r="H454" s="2" t="str">
        <x:v>Execution-flow and state correction</x:v>
      </x:c>
      <x:c r="I454" s="2" t="str">
        <x:v>Partial coverage</x:v>
      </x:c>
      <x:c r="J454" s="2" t="str">
        <x:v>Increased overflow detection and tool output interruption</x:v>
      </x:c>
      <x:c r="K454" s="2" t="str">
        <x:v>Interrupting tool output, compressing continue together constitutes running budget and recovery progression; not proving that the cut point algorithm has been modified, retaining partial coverage.</x:v>
      </x:c>
      <x:c r="L454" s="2" t="str">
        <x:v>After computing integrated backchecks: interrupted tool output; compressed continue combines operating budget and recovery progression; unproven cut point algorithm modification, retaining some coverage.</x:v>
      </x:c>
      <x:c r="M454" s="2" t="str">
        <x:v>https://github.com/earendil-works/pi/issues/128</x:v>
      </x:c>
      <x:c r="N454" s="2" t="str">
        <x:v>F02</x:v>
      </x:c>
      <x:c r="O454" s="2" t="str">
        <x:v>Determinate from available evidence</x:v>
      </x:c>
    </x:row>
    <x:row r="455" ht="48.5" customHeight="1">
      <x:c r="A455" s="2" t="str">
        <x:v>R0392</x:v>
      </x:c>
      <x:c r="B455" s="2" t="str">
        <x:v>earendil-works/pi</x:v>
      </x:c>
      <x:c r="C455" s="2" t="n">
        <x:v>143</x:v>
      </x:c>
      <x:c r="D455" s="2" t="str">
        <x:v>C22</x:v>
      </x:c>
      <x:c r="E455" s="2" t="str">
        <x:v>F01</x:v>
      </x:c>
      <x:c r="F455" s="2" t="str">
        <x:v>F01</x:v>
      </x:c>
      <x:c r="G455" s="2" t="str">
        <x:v>F01</x:v>
      </x:c>
      <x:c r="H455" s="2" t="str">
        <x:v>Representation and usage-contract alignment</x:v>
      </x:c>
      <x:c r="I455" s="2" t="str">
        <x:v>Partial coverage</x:v>
      </x:c>
      <x:c r="J455" s="2" t="str">
        <x:v>Recommended action: alignment models show tool names, interface descriptions and invocation prompts, and explicitly indicate unsupported apply_patch inputs</x:v>
      </x:c>
      <x:c r="K455" s="2" t="str">
        <x:v>The model should be wrongly accepted tool Calibration Model Visible tool List and invocation (a) The agreement; xhigh That's not the way to fill the slots root cause Repairs.  Only the closest estimate does not claim to completely eliminate model hallucination.</x:v>
      </x:c>
      <x:c r="L455" s="2" t="str">
        <x:v>One closest-fit strategy is selected as additionally requested.  The model should be wrongly accepted tool Calibration Model Visible tool List and invocation (a) The agreement; xhigh That's not the way to fill the slots root cause Repairs.  Only the closest estimate does not claim to completely eliminate model hallucination.  The original evidence review is U1; this does not establish that a targeted repair has been verified.</x:v>
      </x:c>
      <x:c r="M455" s="2" t="str">
        <x:v>https://github.com/earendil-works/pi/issues/143</x:v>
      </x:c>
      <x:c r="N455" s="2" t="str">
        <x:v>U1</x:v>
      </x:c>
      <x:c r="O455" s="2" t="str">
        <x:v>Inferred from the primary root cause</x:v>
      </x:c>
    </x:row>
    <x:row r="456" ht="24" customHeight="1">
      <x:c r="A456" s="2" t="str">
        <x:v>R0393</x:v>
      </x:c>
      <x:c r="B456" s="2" t="str">
        <x:v>earendil-works/pi</x:v>
      </x:c>
      <x:c r="C456" s="2" t="n">
        <x:v>198</x:v>
      </x:c>
      <x:c r="D456" s="2" t="str">
        <x:v>C05</x:v>
      </x:c>
      <x:c r="E456" s="2" t="str">
        <x:v>F01</x:v>
      </x:c>
      <x:c r="F456" s="2" t="str">
        <x:v>F01</x:v>
      </x:c>
      <x:c r="G456" s="2" t="str">
        <x:v>F01</x:v>
      </x:c>
      <x:c r="H456" s="2" t="str">
        <x:v>Representation and usage-contract alignment</x:v>
      </x:c>
      <x:c r="I456" s="2" t="str">
        <x:v>Recorded as implemented in the source data</x:v>
      </x:c>
      <x:c r="J456" s="2" t="str">
        <x:v>Cross-provider alignment tool invocation ID</x:v>
      </x:c>
      <x:c r="K456" s="2" t="str">
        <x:v>Let the Responses combination identifier meet the character length of the target protocol</x:v>
      </x:c>
      <x:c r="L456" s="2" t="str">
        <x:v>The two sets of labels agree and the original decision is retained; see the original annotations for the action and its association with the root cause.</x:v>
      </x:c>
      <x:c r="M456" s="2" t="str">
        <x:v>https://github.com/earendil-works/pi/issues/198</x:v>
      </x:c>
      <x:c r="N456" s="2" t="str">
        <x:v>F01</x:v>
      </x:c>
      <x:c r="O456" s="2" t="str">
        <x:v>Determinate from available evidence</x:v>
      </x:c>
    </x:row>
    <x:row r="457" ht="24" customHeight="1">
      <x:c r="A457" s="2" t="str">
        <x:v>R0397</x:v>
      </x:c>
      <x:c r="B457" s="2" t="str">
        <x:v>earendil-works/pi</x:v>
      </x:c>
      <x:c r="C457" s="2" t="n">
        <x:v>1430</x:v>
      </x:c>
      <x:c r="D457" s="2" t="str">
        <x:v>C10</x:v>
      </x:c>
      <x:c r="E457" s="2" t="str">
        <x:v>F03</x:v>
      </x:c>
      <x:c r="F457" s="2" t="str">
        <x:v>F03</x:v>
      </x:c>
      <x:c r="G457" s="2" t="str">
        <x:v>F03</x:v>
      </x:c>
      <x:c r="H457" s="2" t="str">
        <x:v>Validation and failure-path hardening</x:v>
      </x:c>
      <x:c r="I457" s="2" t="str">
        <x:v>Candidate change not merged</x:v>
      </x:c>
      <x:c r="J457" s="2" t="str">
        <x:v>After a bug is injected into the wrong message retry</x:v>
      </x:c>
      <x:c r="K457" s="2" t="str">
        <x:v>fork candidate avoiding instantaneous mistakes as a deadly exit</x:v>
      </x:c>
      <x:c r="L457" s="2" t="str">
        <x:v>The two sets of labels agree and the original decision is retained; see the original annotations for the action and its association with the root cause.</x:v>
      </x:c>
      <x:c r="M457" s="2" t="str">
        <x:v>https://github.com/earendil-works/pi/issues/1430</x:v>
      </x:c>
      <x:c r="N457" s="2" t="str">
        <x:v>F03</x:v>
      </x:c>
      <x:c r="O457" s="2" t="str">
        <x:v>Determinate from available evidence</x:v>
      </x:c>
    </x:row>
    <x:row r="458" ht="24" customHeight="1">
      <x:c r="A458" s="2" t="str">
        <x:v>R0400</x:v>
      </x:c>
      <x:c r="B458" s="2" t="str">
        <x:v>earendil-works/pi</x:v>
      </x:c>
      <x:c r="C458" s="2" t="n">
        <x:v>1816</x:v>
      </x:c>
      <x:c r="D458" s="2" t="str">
        <x:v>C02</x:v>
      </x:c>
      <x:c r="E458" s="2" t="str">
        <x:v>F03</x:v>
      </x:c>
      <x:c r="F458" s="2" t="str">
        <x:v>F03</x:v>
      </x:c>
      <x:c r="G458" s="2" t="str">
        <x:v>F03</x:v>
      </x:c>
      <x:c r="H458" s="2" t="str">
        <x:v>Validation and failure-path hardening</x:v>
      </x:c>
      <x:c r="I458" s="2" t="str">
        <x:v>Candidate change not merged</x:v>
      </x:c>
      <x:c r="J458" s="2" t="str">
        <x:v>token estimates that branches are increasing undefined content protection</x:v>
      </x:c>
      <x:c r="K458" s="2" t="str">
        <x:v>Candidates prevented breaches from triggering the collapse of undefined</x:v>
      </x:c>
      <x:c r="L458" s="2" t="str">
        <x:v>The two sets of labels agree and the original decision is retained; see the original annotations for the action and its association with the root cause.</x:v>
      </x:c>
      <x:c r="M458" s="2" t="str">
        <x:v>https://github.com/earendil-works/pi/issues/1816</x:v>
      </x:c>
      <x:c r="N458" s="2" t="str">
        <x:v>F03</x:v>
      </x:c>
      <x:c r="O458" s="2" t="str">
        <x:v>Determinate from available evidence</x:v>
      </x:c>
    </x:row>
    <x:row r="459" ht="24" customHeight="1">
      <x:c r="A459" s="2" t="str">
        <x:v>R0402</x:v>
      </x:c>
      <x:c r="B459" s="2" t="str">
        <x:v>earendil-works/pi</x:v>
      </x:c>
      <x:c r="C459" s="2" t="n">
        <x:v>2052</x:v>
      </x:c>
      <x:c r="D459" s="2" t="str">
        <x:v>C04</x:v>
      </x:c>
      <x:c r="E459" s="2" t="str">
        <x:v>F01</x:v>
      </x:c>
      <x:c r="F459" s="2" t="str">
        <x:v>F01</x:v>
      </x:c>
      <x:c r="G459" s="2" t="str">
        <x:v>F01</x:v>
      </x:c>
      <x:c r="H459" s="2" t="str">
        <x:v>Representation and usage-contract alignment</x:v>
      </x:c>
      <x:c r="I459" s="2" t="str">
        <x:v>Recorded as implemented in the source data</x:v>
      </x:c>
      <x:c r="J459" s="2" t="str">
        <x:v>Results of the new Gemini-Antigravity image-in-line function</x:v>
      </x:c>
      <x:c r="K459" s="2" t="str">
        <x:v>Maintaining the protocol structure of tool results close to the same message</x:v>
      </x:c>
      <x:c r="L459" s="2" t="str">
        <x:v>The two sets of labels agree and the original decision is retained; see the original annotations for the action and its association with the root cause.</x:v>
      </x:c>
      <x:c r="M459" s="2" t="str">
        <x:v>https://github.com/earendil-works/pi/issues/2052</x:v>
      </x:c>
      <x:c r="N459" s="2" t="str">
        <x:v>F01</x:v>
      </x:c>
      <x:c r="O459" s="2" t="str">
        <x:v>Determinate from available evidence</x:v>
      </x:c>
    </x:row>
    <x:row r="460" ht="24" customHeight="1">
      <x:c r="A460" s="2" t="str">
        <x:v>R0405</x:v>
      </x:c>
      <x:c r="B460" s="2" t="str">
        <x:v>earendil-works/pi</x:v>
      </x:c>
      <x:c r="C460" s="2" t="n">
        <x:v>2383</x:v>
      </x:c>
      <x:c r="D460" s="2" t="str">
        <x:v>C12</x:v>
      </x:c>
      <x:c r="E460" s="2" t="str">
        <x:v>F02</x:v>
      </x:c>
      <x:c r="F460" s="2" t="str">
        <x:v>F02</x:v>
      </x:c>
      <x:c r="G460" s="2" t="str">
        <x:v>F02</x:v>
      </x:c>
      <x:c r="H460" s="2" t="str">
        <x:v>Execution-flow and state correction</x:v>
      </x:c>
      <x:c r="I460" s="2" t="str">
        <x:v>Candidate change not merged</x:v>
      </x:c>
      <x:c r="J460" s="2" t="str">
        <x:v>Unusual trapping routes to complete the incident</x:v>
      </x:c>
      <x:c r="K460" s="2" t="str">
        <x:v>Error in stability with the latest assistant state, further retry can be advanced</x:v>
      </x:c>
      <x:c r="L460" s="2" t="str">
        <x:v>The two sets of labels agree and the original decision is retained; see the original annotations for the action and its association with the root cause.</x:v>
      </x:c>
      <x:c r="M460" s="2" t="str">
        <x:v>https://github.com/earendil-works/pi/issues/2383</x:v>
      </x:c>
      <x:c r="N460" s="2" t="str">
        <x:v>F02</x:v>
      </x:c>
      <x:c r="O460" s="2" t="str">
        <x:v>Determinate from available evidence</x:v>
      </x:c>
    </x:row>
    <x:row r="461" ht="24" customHeight="1">
      <x:c r="A461" s="2" t="str">
        <x:v>R0406</x:v>
      </x:c>
      <x:c r="B461" s="2" t="str">
        <x:v>earendil-works/pi</x:v>
      </x:c>
      <x:c r="C461" s="2" t="n">
        <x:v>2395</x:v>
      </x:c>
      <x:c r="D461" s="2" t="str">
        <x:v>C18</x:v>
      </x:c>
      <x:c r="E461" s="2" t="str">
        <x:v>F03</x:v>
      </x:c>
      <x:c r="F461" s="2" t="str">
        <x:v>F03</x:v>
      </x:c>
      <x:c r="G461" s="2" t="str">
        <x:v>F03</x:v>
      </x:c>
      <x:c r="H461" s="2" t="str">
        <x:v>Validation and failure-path hardening</x:v>
      </x:c>
      <x:c r="I461" s="2" t="str">
        <x:v>Recorded as implemented in the source data</x:v>
      </x:c>
      <x:c r="J461" s="2" t="str">
        <x:v>Capturing AJV compilation failure and skipping the test in restricted environments</x:v>
      </x:c>
      <x:c r="K461" s="2" t="str">
        <x:v>The following is a list of dynamic code compilation blocked paths.</x:v>
      </x:c>
      <x:c r="L461" s="2" t="str">
        <x:v>The two sets of labels agree and the original decision is retained; see the original annotations for the action and its association with the root cause.</x:v>
      </x:c>
      <x:c r="M461" s="2" t="str">
        <x:v>https://github.com/earendil-works/pi/issues/2395</x:v>
      </x:c>
      <x:c r="N461" s="2" t="str">
        <x:v>F03</x:v>
      </x:c>
      <x:c r="O461" s="2" t="str">
        <x:v>Determinate from available evidence</x:v>
      </x:c>
    </x:row>
    <x:row r="462" ht="24" customHeight="1">
      <x:c r="A462" s="2" t="str">
        <x:v>R0409</x:v>
      </x:c>
      <x:c r="B462" s="2" t="str">
        <x:v>earendil-works/pi</x:v>
      </x:c>
      <x:c r="C462" s="2" t="n">
        <x:v>2677</x:v>
      </x:c>
      <x:c r="D462" s="2" t="str">
        <x:v>C10</x:v>
      </x:c>
      <x:c r="E462" s="2" t="str">
        <x:v>F02</x:v>
      </x:c>
      <x:c r="F462" s="2" t="str">
        <x:v>F02</x:v>
      </x:c>
      <x:c r="G462" s="2" t="str">
        <x:v>F02</x:v>
      </x:c>
      <x:c r="H462" s="2" t="str">
        <x:v>Execution-flow and state correction</x:v>
      </x:c>
      <x:c r="I462" s="2" t="str">
        <x:v>Candidate change not merged</x:v>
      </x:c>
      <x:c r="J462" s="2" t="str">
        <x:v>Print mode ends the forced withdrawal process</x:v>
      </x:c>
      <x:c r="K462" s="2" t="str">
        <x:v>fork candidates no longer wait for the extension of the handle to be naturally empty</x:v>
      </x:c>
      <x:c r="L462" s="2" t="str">
        <x:v>The two sets of labels agree and the original decision is retained; see the original annotations for the action and its association with the root cause.</x:v>
      </x:c>
      <x:c r="M462" s="2" t="str">
        <x:v>https://github.com/earendil-works/pi/issues/2677</x:v>
      </x:c>
      <x:c r="N462" s="2" t="str">
        <x:v>F02</x:v>
      </x:c>
      <x:c r="O462" s="2" t="str">
        <x:v>Determinate from available evidence</x:v>
      </x:c>
    </x:row>
    <x:row r="463" ht="24" customHeight="1">
      <x:c r="A463" s="2" t="str">
        <x:v>R0410</x:v>
      </x:c>
      <x:c r="B463" s="2" t="str">
        <x:v>earendil-works/pi</x:v>
      </x:c>
      <x:c r="C463" s="2" t="n">
        <x:v>2719</x:v>
      </x:c>
      <x:c r="D463" s="2" t="str">
        <x:v>C19</x:v>
      </x:c>
      <x:c r="E463" s="2" t="str">
        <x:v>F02</x:v>
      </x:c>
      <x:c r="F463" s="2" t="str">
        <x:v>F02</x:v>
      </x:c>
      <x:c r="G463" s="2" t="str">
        <x:v>F02</x:v>
      </x:c>
      <x:c r="H463" s="2" t="str">
        <x:v>Execution-flow and state correction</x:v>
      </x:c>
      <x:c r="I463" s="2" t="str">
        <x:v>Recorded as implemented in the source data</x:v>
      </x:c>
      <x:c r="J463" s="2" t="str">
        <x:v>Create a list of options after waiting for the asynchronous full results</x:v>
      </x:c>
      <x:c r="K463" s="2" t="str">
        <x:v>Amendment Promise is not yet complete, and the execution time is consumed</x:v>
      </x:c>
      <x:c r="L463" s="2" t="str">
        <x:v>The two sets of labels agree and the original decision is retained; see the original annotations for the action and its association with the root cause.</x:v>
      </x:c>
      <x:c r="M463" s="2" t="str">
        <x:v>https://github.com/earendil-works/pi/issues/2719</x:v>
      </x:c>
      <x:c r="N463" s="2" t="str">
        <x:v>F02</x:v>
      </x:c>
      <x:c r="O463" s="2" t="str">
        <x:v>Determinate from available evidence</x:v>
      </x:c>
    </x:row>
    <x:row r="464" ht="24" customHeight="1">
      <x:c r="A464" s="2" t="str">
        <x:v>R0413</x:v>
      </x:c>
      <x:c r="B464" s="2" t="str">
        <x:v>earendil-works/pi</x:v>
      </x:c>
      <x:c r="C464" s="2" t="n">
        <x:v>3358</x:v>
      </x:c>
      <x:c r="D464" s="2" t="str">
        <x:v>C23</x:v>
      </x:c>
      <x:c r="E464" s="2" t="str">
        <x:v>F01</x:v>
      </x:c>
      <x:c r="F464" s="2" t="str">
        <x:v>F01</x:v>
      </x:c>
      <x:c r="G464" s="2" t="str">
        <x:v>F01</x:v>
      </x:c>
      <x:c r="H464" s="2" t="str">
        <x:v>Representation and usage-contract alignment</x:v>
      </x:c>
      <x:c r="I464" s="2" t="str">
        <x:v>Recorded as implemented in the source data</x:v>
      </x:c>
      <x:c r="J464" s="2" t="str">
        <x:v>Web browser changes security shortcuts and adds switching buttons</x:v>
      </x:c>
      <x:c r="K464" s="2" t="str">
        <x:v>Coordinate browser interaction agreements to avoid Ctrl combinations being taken over by browsers</x:v>
      </x:c>
      <x:c r="L464" s="2" t="str">
        <x:v>The two sets of labels agree and the original decision is retained; see the original annotations for the action and its association with the root cause.</x:v>
      </x:c>
      <x:c r="M464" s="2" t="str">
        <x:v>https://github.com/earendil-works/pi/issues/3358</x:v>
      </x:c>
      <x:c r="N464" s="2" t="str">
        <x:v>F01</x:v>
      </x:c>
      <x:c r="O464" s="2" t="str">
        <x:v>Determinate from available evidence</x:v>
      </x:c>
    </x:row>
    <x:row r="465" ht="24" customHeight="1">
      <x:c r="A465" s="2" t="str">
        <x:v>R0415</x:v>
      </x:c>
      <x:c r="B465" s="2" t="str">
        <x:v>earendil-works/pi</x:v>
      </x:c>
      <x:c r="C465" s="2" t="n">
        <x:v>3552</x:v>
      </x:c>
      <x:c r="D465" s="2" t="str">
        <x:v>C15</x:v>
      </x:c>
      <x:c r="E465" s="2" t="str">
        <x:v>F03</x:v>
      </x:c>
      <x:c r="F465" s="2" t="str">
        <x:v>F03</x:v>
      </x:c>
      <x:c r="G465" s="2" t="str">
        <x:v>F03</x:v>
      </x:c>
      <x:c r="H465" s="2" t="str">
        <x:v>Validation and failure-path hardening</x:v>
      </x:c>
      <x:c r="I465" s="2" t="str">
        <x:v>Recorded as implemented in the source data</x:v>
      </x:c>
      <x:c r="J465" s="2" t="str">
        <x:v>SVG preview converted to blob image isolation rendering</x:v>
      </x:c>
      <x:c r="K465" s="2" t="str">
        <x:v>Preventing unreliable labels from being injected directly into DOM</x:v>
      </x:c>
      <x:c r="L465" s="2" t="str">
        <x:v>The two sets of labels agree and the original decision is retained; see the original annotations for the action and its association with the root cause.</x:v>
      </x:c>
      <x:c r="M465" s="2" t="str">
        <x:v>https://github.com/earendil-works/pi/issues/3552</x:v>
      </x:c>
      <x:c r="N465" s="2" t="str">
        <x:v>F03</x:v>
      </x:c>
      <x:c r="O465" s="2" t="str">
        <x:v>Determinate from available evidence</x:v>
      </x:c>
    </x:row>
    <x:row r="466" ht="24" customHeight="1">
      <x:c r="A466" s="2" t="str">
        <x:v>R0416</x:v>
      </x:c>
      <x:c r="B466" s="2" t="str">
        <x:v>earendil-works/pi</x:v>
      </x:c>
      <x:c r="C466" s="2" t="n">
        <x:v>3811</x:v>
      </x:c>
      <x:c r="D466" s="2" t="str">
        <x:v>C15</x:v>
      </x:c>
      <x:c r="E466" s="2" t="str">
        <x:v>F03</x:v>
      </x:c>
      <x:c r="F466" s="2" t="str">
        <x:v>F03</x:v>
      </x:c>
      <x:c r="G466" s="2" t="str">
        <x:v>F03</x:v>
      </x:c>
      <x:c r="H466" s="2" t="str">
        <x:v>Validation and failure-path hardening</x:v>
      </x:c>
      <x:c r="I466" s="2" t="str">
        <x:v>Recorded as implemented in the source data</x:v>
      </x:c>
      <x:c r="J466" s="2" t="str">
        <x:v>Image data is inserted into the attribute before conversion</x:v>
      </x:c>
      <x:c r="K466" s="2" t="str">
        <x:v>Blocking quotation marks, etc. that cause src properties to leak</x:v>
      </x:c>
      <x:c r="L466" s="2" t="str">
        <x:v>The two sets of labels agree and the original decision is retained; see the original annotations for the action and its association with the root cause.</x:v>
      </x:c>
      <x:c r="M466" s="2" t="str">
        <x:v>https://github.com/earendil-works/pi/issues/3811</x:v>
      </x:c>
      <x:c r="N466" s="2" t="str">
        <x:v>F03</x:v>
      </x:c>
      <x:c r="O466" s="2" t="str">
        <x:v>Determinate from available evidence</x:v>
      </x:c>
    </x:row>
    <x:row r="467" ht="48.5" customHeight="1">
      <x:c r="A467" s="2" t="str">
        <x:v>R0417</x:v>
      </x:c>
      <x:c r="B467" s="2" t="str">
        <x:v>earendil-works/pi</x:v>
      </x:c>
      <x:c r="C467" s="2" t="n">
        <x:v>4226</x:v>
      </x:c>
      <x:c r="D467" s="2" t="str">
        <x:v>C02</x:v>
      </x:c>
      <x:c r="E467" s="2" t="str">
        <x:v>U1</x:v>
      </x:c>
      <x:c r="F467" s="2" t="str">
        <x:v>U1</x:v>
      </x:c>
      <x:c r="G467" s="2" t="str">
        <x:v>F01</x:v>
      </x:c>
      <x:c r="H467" s="2" t="str">
        <x:v>Representation and usage-contract alignment</x:v>
      </x:c>
      <x:c r="I467" s="2" t="str">
        <x:v>Insufficient association evidence</x:v>
      </x:c>
      <x:c r="J467" s="2" t="str">
        <x:v>Recommended action: Recommended to retain the native type of Bull numbers instead of stringing in third-party MCP adaptation layers.</x:v>
      </x:c>
      <x:c r="K467" s="2" t="str">
        <x:v>Summary References are not relevant, the estimated parameters of a report stringing the original values according to a third-party adapter indicate correction.  This is an additional closest-fit assignment, not an established repair fact.</x:v>
      </x:c>
      <x:c r="L467" s="2" t="str">
        <x:v>One closest-fit strategy is selected as additionally requested.  Summary References are not relevant, the estimated parameters of a report stringing the original values according to a third-party adapter indicate correction.  This is an additional closest-fit assignment, not an established repair fact.  The original evidence review is U1; this does not establish that a targeted repair has been verified.</x:v>
      </x:c>
      <x:c r="M467" s="2" t="str">
        <x:v>https://github.com/earendil-works/pi/issues/4226</x:v>
      </x:c>
      <x:c r="N467" s="2" t="str">
        <x:v>U1</x:v>
      </x:c>
      <x:c r="O467" s="2" t="str">
        <x:v>Inferred from the primary root cause</x:v>
      </x:c>
    </x:row>
    <x:row r="468" ht="24" customHeight="1">
      <x:c r="A468" s="2" t="str">
        <x:v>R0418</x:v>
      </x:c>
      <x:c r="B468" s="2" t="str">
        <x:v>earendil-works/pi</x:v>
      </x:c>
      <x:c r="C468" s="2" t="n">
        <x:v>4311</x:v>
      </x:c>
      <x:c r="D468" s="2" t="str">
        <x:v>C04</x:v>
      </x:c>
      <x:c r="E468" s="2" t="str">
        <x:v>F03</x:v>
      </x:c>
      <x:c r="F468" s="2" t="str">
        <x:v>F03</x:v>
      </x:c>
      <x:c r="G468" s="2" t="str">
        <x:v>F03</x:v>
      </x:c>
      <x:c r="H468" s="2" t="str">
        <x:v>Validation and failure-path hardening</x:v>
      </x:c>
      <x:c r="I468" s="2" t="str">
        <x:v>Implementation status pending verification</x:v>
      </x:c>
      <x:c r="J468" s="2" t="str">
        <x:v>Empty tool schema fallback Empty Object</x:v>
      </x:c>
      <x:c r="K468" s="2" t="str">
        <x:v>Candidates avoiding parameters for null are rejected by the API</x:v>
      </x:c>
      <x:c r="L468" s="2" t="str">
        <x:v>The two sets of labels agree and the original decision is retained; see the original annotations for the action and its association with the root cause.</x:v>
      </x:c>
      <x:c r="M468" s="2" t="str">
        <x:v>https://github.com/earendil-works/pi/issues/4311</x:v>
      </x:c>
      <x:c r="N468" s="2" t="str">
        <x:v>F03</x:v>
      </x:c>
      <x:c r="O468" s="2" t="str">
        <x:v>Determinate from available evidence</x:v>
      </x:c>
    </x:row>
    <x:row r="469" ht="35" customHeight="1">
      <x:c r="A469" s="2" t="str">
        <x:v>R0419</x:v>
      </x:c>
      <x:c r="B469" s="2" t="str">
        <x:v>earendil-works/pi</x:v>
      </x:c>
      <x:c r="C469" s="2" t="n">
        <x:v>4340</x:v>
      </x:c>
      <x:c r="D469" s="2" t="str">
        <x:v>C20</x:v>
      </x:c>
      <x:c r="E469" s="2" t="str">
        <x:v>F04</x:v>
      </x:c>
      <x:c r="F469" s="2" t="str">
        <x:v>F04</x:v>
      </x:c>
      <x:c r="G469" s="2" t="str">
        <x:v>F04</x:v>
      </x:c>
      <x:c r="H469" s="2" t="str">
        <x:v>Environment and distribution adaptation</x:v>
      </x:c>
      <x:c r="I469" s="2" t="str">
        <x:v>Workaround only or existing behavior</x:v>
      </x:c>
      <x:c r="J469" s="2" t="str">
        <x:v>When the downstream distribution packet switches to Node running</x:v>
      </x:c>
      <x:c r="K469" s="2" t="str">
        <x:v>I'm going to use the downstream pack Node.js Avoid Bun Hard timeout, clear action; Pi The side's not fixed, not counted Pi Main repository was rehabilitated.</x:v>
      </x:c>
      <x:c r="L469" s="2" t="str">
        <x:v>Combining checkback after calculation: Reload downstream packs Node.js Avoid Bun Hard timeout, clear action; Pi The side's not fixed, not counted Pi Main repository was rehabilitated.</x:v>
      </x:c>
      <x:c r="M469" s="2" t="str">
        <x:v>https://github.com/earendil-works/pi/issues/4340</x:v>
      </x:c>
      <x:c r="N469" s="2" t="str">
        <x:v>F04</x:v>
      </x:c>
      <x:c r="O469" s="2" t="str">
        <x:v>Determinate from available evidence</x:v>
      </x:c>
    </x:row>
    <x:row r="470" ht="24" customHeight="1">
      <x:c r="A470" s="2" t="str">
        <x:v>R0425</x:v>
      </x:c>
      <x:c r="B470" s="2" t="str">
        <x:v>earendil-works/pi</x:v>
      </x:c>
      <x:c r="C470" s="2" t="n">
        <x:v>4761</x:v>
      </x:c>
      <x:c r="D470" s="2" t="str">
        <x:v>C16</x:v>
      </x:c>
      <x:c r="E470" s="2" t="str">
        <x:v>F01</x:v>
      </x:c>
      <x:c r="F470" s="2" t="str">
        <x:v>F01</x:v>
      </x:c>
      <x:c r="G470" s="2" t="str">
        <x:v>F01</x:v>
      </x:c>
      <x:c r="H470" s="2" t="str">
        <x:v>Representation and usage-contract alignment</x:v>
      </x:c>
      <x:c r="I470" s="2" t="str">
        <x:v>Recorded as implemented in the source data</x:v>
      </x:c>
      <x:c r="J470" s="2" t="str">
        <x:v>Rules for resource coverage using the directory database</x:v>
      </x:c>
      <x:c r="K470" s="2" t="str">
        <x:v>Write and match relative rules using the same baseDir convention</x:v>
      </x:c>
      <x:c r="L470" s="2" t="str">
        <x:v>The two sets of labels agree and the original decision is retained; see the original annotations for the action and its association with the root cause.</x:v>
      </x:c>
      <x:c r="M470" s="2" t="str">
        <x:v>https://github.com/earendil-works/pi/issues/4761</x:v>
      </x:c>
      <x:c r="N470" s="2" t="str">
        <x:v>F01</x:v>
      </x:c>
      <x:c r="O470" s="2" t="str">
        <x:v>Determinate from available evidence</x:v>
      </x:c>
    </x:row>
    <x:row r="471" ht="24" customHeight="1">
      <x:c r="A471" s="2" t="str">
        <x:v>R0426</x:v>
      </x:c>
      <x:c r="B471" s="2" t="str">
        <x:v>earendil-works/pi</x:v>
      </x:c>
      <x:c r="C471" s="2" t="n">
        <x:v>4932</x:v>
      </x:c>
      <x:c r="D471" s="2" t="str">
        <x:v>C04</x:v>
      </x:c>
      <x:c r="E471" s="2" t="str">
        <x:v>F01</x:v>
      </x:c>
      <x:c r="F471" s="2" t="str">
        <x:v>F01</x:v>
      </x:c>
      <x:c r="G471" s="2" t="str">
        <x:v>F01</x:v>
      </x:c>
      <x:c r="H471" s="2" t="str">
        <x:v>Representation and usage-contract alignment</x:v>
      </x:c>
      <x:c r="I471" s="2" t="str">
        <x:v>Candidate change not merged</x:v>
      </x:c>
      <x:c r="J471" s="2" t="str">
        <x:v>Deprive schema constants before the request of the provider</x:v>
      </x:c>
      <x:c r="K471" s="2" t="str">
        <x:v>Official patches for the protocol differences in const denied by the adapter endpoints</x:v>
      </x:c>
      <x:c r="L471" s="2" t="str">
        <x:v>The two sets of labels agree and the original decision is retained; see the original annotations for the action and its association with the root cause.</x:v>
      </x:c>
      <x:c r="M471" s="2" t="str">
        <x:v>https://github.com/earendil-works/pi/issues/4932</x:v>
      </x:c>
      <x:c r="N471" s="2" t="str">
        <x:v>F01</x:v>
      </x:c>
      <x:c r="O471" s="2" t="str">
        <x:v>Determinate from available evidence</x:v>
      </x:c>
    </x:row>
    <x:row r="472" ht="24" customHeight="1">
      <x:c r="A472" s="2" t="str">
        <x:v>R0429</x:v>
      </x:c>
      <x:c r="B472" s="2" t="str">
        <x:v>earendil-works/pi</x:v>
      </x:c>
      <x:c r="C472" s="2" t="n">
        <x:v>5289</x:v>
      </x:c>
      <x:c r="D472" s="2" t="str">
        <x:v>C01</x:v>
      </x:c>
      <x:c r="E472" s="2" t="str">
        <x:v>F03</x:v>
      </x:c>
      <x:c r="F472" s="2" t="str">
        <x:v>F03</x:v>
      </x:c>
      <x:c r="G472" s="2" t="str">
        <x:v>F03</x:v>
      </x:c>
      <x:c r="H472" s="2" t="str">
        <x:v>Validation and failure-path hardening</x:v>
      </x:c>
      <x:c r="I472" s="2" t="str">
        <x:v>Candidate change not merged</x:v>
      </x:c>
      <x:c r="J472" s="2" t="str">
        <x:v>Read First 4 KB Ham NUL Deny binary</x:v>
      </x:c>
      <x:c r="K472" s="2" t="str">
        <x:v>Candidate performs security before bad data is accessed and stored</x:v>
      </x:c>
      <x:c r="L472" s="2" t="str">
        <x:v>The two sets of labels agree and the original decision is retained; see the original annotations for the action and its association with the root cause.</x:v>
      </x:c>
      <x:c r="M472" s="2" t="str">
        <x:v>https://github.com/earendil-works/pi/issues/5289</x:v>
      </x:c>
      <x:c r="N472" s="2" t="str">
        <x:v>F03</x:v>
      </x:c>
      <x:c r="O472" s="2" t="str">
        <x:v>Determinate from available evidence</x:v>
      </x:c>
    </x:row>
    <x:row r="473" ht="24" customHeight="1">
      <x:c r="A473" s="2" t="str">
        <x:v>R0431</x:v>
      </x:c>
      <x:c r="B473" s="2" t="str">
        <x:v>earendil-works/pi</x:v>
      </x:c>
      <x:c r="C473" s="2" t="n">
        <x:v>5940</x:v>
      </x:c>
      <x:c r="D473" s="2" t="str">
        <x:v>C11</x:v>
      </x:c>
      <x:c r="E473" s="2" t="str">
        <x:v>F02</x:v>
      </x:c>
      <x:c r="F473" s="2" t="str">
        <x:v>F02</x:v>
      </x:c>
      <x:c r="G473" s="2" t="str">
        <x:v>F02</x:v>
      </x:c>
      <x:c r="H473" s="2" t="str">
        <x:v>Execution-flow and state correction</x:v>
      </x:c>
      <x:c r="I473" s="2" t="str">
        <x:v>Recorded as implemented in the source data</x:v>
      </x:c>
      <x:c r="J473" s="2" t="str">
        <x:v>Plan to properly line up and preserve the tool set of recovery activities</x:v>
      </x:c>
      <x:c r="K473" s="2" t="str">
        <x:v>Correction of agent_end timing and tool status for entering and exiting plan</x:v>
      </x:c>
      <x:c r="L473" s="2" t="str">
        <x:v>The two sets of labels agree and the original decision is retained; see the original annotations for the action and its association with the root cause.</x:v>
      </x:c>
      <x:c r="M473" s="2" t="str">
        <x:v>https://github.com/earendil-works/pi/issues/5940</x:v>
      </x:c>
      <x:c r="N473" s="2" t="str">
        <x:v>F02</x:v>
      </x:c>
      <x:c r="O473" s="2" t="str">
        <x:v>Determinate from available evidence</x:v>
      </x:c>
    </x:row>
    <x:row r="474" ht="24" customHeight="1">
      <x:c r="A474" s="2" t="str">
        <x:v>R0433</x:v>
      </x:c>
      <x:c r="B474" s="2" t="str">
        <x:v>earendil-works/pi</x:v>
      </x:c>
      <x:c r="C474" s="2" t="n">
        <x:v>6276</x:v>
      </x:c>
      <x:c r="D474" s="2" t="str">
        <x:v>C12</x:v>
      </x:c>
      <x:c r="E474" s="2" t="str">
        <x:v>F03</x:v>
      </x:c>
      <x:c r="F474" s="2" t="str">
        <x:v>F03</x:v>
      </x:c>
      <x:c r="G474" s="2" t="str">
        <x:v>F03</x:v>
      </x:c>
      <x:c r="H474" s="2" t="str">
        <x:v>Validation and failure-path hardening</x:v>
      </x:c>
      <x:c r="I474" s="2" t="str">
        <x:v>Recorded as implemented in the source data</x:v>
      </x:c>
      <x:c r="J474" s="2" t="str">
        <x:v>When message is taken, null Content fallback Array</x:v>
      </x:c>
      <x:c r="K474" s="2" t="str">
        <x:v>Unified exceptional blank content protection to avoid downstream diversion and filter collapse</x:v>
      </x:c>
      <x:c r="L474" s="2" t="str">
        <x:v>The two sets of labels agree and the original decision is retained; see the original annotations for the action and its association with the root cause.</x:v>
      </x:c>
      <x:c r="M474" s="2" t="str">
        <x:v>https://github.com/earendil-works/pi/issues/6276</x:v>
      </x:c>
      <x:c r="N474" s="2" t="str">
        <x:v>F03</x:v>
      </x:c>
      <x:c r="O474" s="2" t="str">
        <x:v>Determinate from available evidence</x:v>
      </x:c>
    </x:row>
    <x:row r="475" ht="35" customHeight="1">
      <x:c r="A475" s="2" t="str">
        <x:v>R0443</x:v>
      </x:c>
      <x:c r="B475" s="2" t="str">
        <x:v>earendil-works/pi</x:v>
      </x:c>
      <x:c r="C475" s="2" t="n">
        <x:v>7782</x:v>
      </x:c>
      <x:c r="D475" s="2" t="str">
        <x:v>C02</x:v>
      </x:c>
      <x:c r="E475" s="2" t="str">
        <x:v>F03</x:v>
      </x:c>
      <x:c r="F475" s="2" t="str">
        <x:v>F01</x:v>
      </x:c>
      <x:c r="G475" s="2" t="str">
        <x:v>F01</x:v>
      </x:c>
      <x:c r="H475" s="2" t="str">
        <x:v>Representation and usage-contract alignment</x:v>
      </x:c>
      <x:c r="I475" s="2" t="str">
        <x:v>Recorded as implemented in the source data</x:v>
      </x:c>
      <x:c r="J475" s="2" t="str">
        <x:v>Remove empty parameter names when returned to Bedrock</x:v>
      </x:c>
      <x:c r="K475" s="2" t="str">
        <x:v>Only for the Bedrock outgoing station repositioning conversion, reserving specification session data; not all JSON interfaces are illegal with blank keys, adapted by provider agreement.</x:v>
      </x:c>
      <x:c r="L475" s="2" t="str">
        <x:v>Calculated integrated back-checks: only for Bedrock exit reset conversions, retaining specification session data; empty keys are not illegal for all JSON interfaces, adapted to the provider's contract.</x:v>
      </x:c>
      <x:c r="M475" s="2" t="str">
        <x:v>https://github.com/earendil-works/pi/issues/7782</x:v>
      </x:c>
      <x:c r="N475" s="2" t="str">
        <x:v>F01</x:v>
      </x:c>
      <x:c r="O475" s="2" t="str">
        <x:v>Determinate from available evidence</x:v>
      </x:c>
    </x:row>
    <x:row r="476" ht="24" customHeight="1">
      <x:c r="A476" s="2" t="str">
        <x:v>R0444</x:v>
      </x:c>
      <x:c r="B476" s="2" t="str">
        <x:v>earendil-works/pi</x:v>
      </x:c>
      <x:c r="C476" s="2" t="n">
        <x:v>7835</x:v>
      </x:c>
      <x:c r="D476" s="2" t="str">
        <x:v>C02</x:v>
      </x:c>
      <x:c r="E476" s="2" t="str">
        <x:v>F01</x:v>
      </x:c>
      <x:c r="F476" s="2" t="str">
        <x:v>F01</x:v>
      </x:c>
      <x:c r="G476" s="2" t="str">
        <x:v>F01</x:v>
      </x:c>
      <x:c r="H476" s="2" t="str">
        <x:v>Representation and usage-contract alignment</x:v>
      </x:c>
      <x:c r="I476" s="2" t="str">
        <x:v>Recorded as implemented in the source data</x:v>
      </x:c>
      <x:c r="J476" s="2" t="str">
        <x:v>Legal single-edited object packaging as a single-element array</x:v>
      </x:c>
      <x:c r="K476" s="2" t="str">
        <x:v>Indicates compatibility of single object and array inputs</x:v>
      </x:c>
      <x:c r="L476" s="2" t="str">
        <x:v>The two sets of labels agree and the original decision is retained; see the original annotations for the action and its association with the root cause.</x:v>
      </x:c>
      <x:c r="M476" s="2" t="str">
        <x:v>https://github.com/earendil-works/pi/issues/7835</x:v>
      </x:c>
      <x:c r="N476" s="2" t="str">
        <x:v>F01</x:v>
      </x:c>
      <x:c r="O476" s="2" t="str">
        <x:v>Determinate from available evidence</x:v>
      </x:c>
    </x:row>
    <x:row r="477" ht="24" customHeight="1">
      <x:c r="A477" s="2" t="str">
        <x:v>R0445</x:v>
      </x:c>
      <x:c r="B477" s="2" t="str">
        <x:v>earendil-works/pi</x:v>
      </x:c>
      <x:c r="C477" s="2" t="n">
        <x:v>8063</x:v>
      </x:c>
      <x:c r="D477" s="2" t="str">
        <x:v>C04</x:v>
      </x:c>
      <x:c r="E477" s="2" t="str">
        <x:v>F01</x:v>
      </x:c>
      <x:c r="F477" s="2" t="str">
        <x:v>F01</x:v>
      </x:c>
      <x:c r="G477" s="2" t="str">
        <x:v>F01</x:v>
      </x:c>
      <x:c r="H477" s="2" t="str">
        <x:v>Representation and usage-contract alignment</x:v>
      </x:c>
      <x:c r="I477" s="2" t="str">
        <x:v>Implementation status pending verification</x:v>
      </x:c>
      <x:c r="J477" s="2" t="str">
        <x:v>New Independent Non-Help Content Compatibility Switch added</x:v>
      </x:c>
      <x:c r="K477" s="2" t="str">
        <x:v>The old flag expresses a different contract with no need to insert an assistant message</x:v>
      </x:c>
      <x:c r="L477" s="2" t="str">
        <x:v>The two sets of labels agree and the original decision is retained; see the original annotations for the action and its association with the root cause.</x:v>
      </x:c>
      <x:c r="M477" s="2" t="str">
        <x:v>https://github.com/earendil-works/pi/issues/8063</x:v>
      </x:c>
      <x:c r="N477" s="2" t="str">
        <x:v>F01</x:v>
      </x:c>
      <x:c r="O477" s="2" t="str">
        <x:v>Determinate from available evidence</x:v>
      </x:c>
    </x:row>
    <x:row r="478" ht="24" customHeight="1">
      <x:c r="A478" s="2" t="str">
        <x:v>R0454</x:v>
      </x:c>
      <x:c r="B478" s="2" t="str">
        <x:v>earendil-works/pi</x:v>
      </x:c>
      <x:c r="C478" s="2" t="n">
        <x:v>9320</x:v>
      </x:c>
      <x:c r="D478" s="2" t="str">
        <x:v>C19</x:v>
      </x:c>
      <x:c r="E478" s="2" t="str">
        <x:v>F03</x:v>
      </x:c>
      <x:c r="F478" s="2" t="str">
        <x:v>F03</x:v>
      </x:c>
      <x:c r="G478" s="2" t="str">
        <x:v>F03</x:v>
      </x:c>
      <x:c r="H478" s="2" t="str">
        <x:v>Validation and failure-path hardening</x:v>
      </x:c>
      <x:c r="I478" s="2" t="str">
        <x:v>Candidate change not merged</x:v>
      </x:c>
      <x:c r="J478" s="2" t="str">
        <x:v>Selective chain invocation subcomponents failures method</x:v>
      </x:c>
      <x:c r="K478" s="2" t="str">
        <x:v>Selectable interface missing no longer crashes the subject redraw</x:v>
      </x:c>
      <x:c r="L478" s="2" t="str">
        <x:v>The two sets of labels agree and the original decision is retained; see the original annotations for the action and its association with the root cause.</x:v>
      </x:c>
      <x:c r="M478" s="2" t="str">
        <x:v>https://github.com/earendil-works/pi/issues/9320</x:v>
      </x:c>
      <x:c r="N478" s="2" t="str">
        <x:v>F03</x:v>
      </x:c>
      <x:c r="O478" s="2" t="str">
        <x:v>Determinate from available evidence</x:v>
      </x:c>
    </x:row>
    <x:row r="479" ht="24" customHeight="1">
      <x:c r="A479" s="2" t="str">
        <x:v>R0455</x:v>
      </x:c>
      <x:c r="B479" s="2" t="str">
        <x:v>earendil-works/pi</x:v>
      </x:c>
      <x:c r="C479" s="2" t="n">
        <x:v>9377</x:v>
      </x:c>
      <x:c r="D479" s="2" t="str">
        <x:v>C11</x:v>
      </x:c>
      <x:c r="E479" s="2" t="str">
        <x:v>F03</x:v>
      </x:c>
      <x:c r="F479" s="2" t="str">
        <x:v>F03</x:v>
      </x:c>
      <x:c r="G479" s="2" t="str">
        <x:v>F03</x:v>
      </x:c>
      <x:c r="H479" s="2" t="str">
        <x:v>Validation and failure-path hardening</x:v>
      </x:c>
      <x:c r="I479" s="2" t="str">
        <x:v>Candidate change not merged</x:v>
      </x:c>
      <x:c r="J479" s="2" t="str">
        <x:v>Refusing to reload the session when streamlined or compressed</x:v>
      </x:c>
      <x:c r="K479" s="2" t="str">
        <x:v>Default guard to avoid disrupting tool results</x:v>
      </x:c>
      <x:c r="L479" s="2" t="str">
        <x:v>The two sets of labels agree and the original decision is retained; see the original annotations for the action and its association with the root cause.</x:v>
      </x:c>
      <x:c r="M479" s="2" t="str">
        <x:v>https://github.com/earendil-works/pi/issues/9377</x:v>
      </x:c>
      <x:c r="N479" s="2" t="str">
        <x:v>F03</x:v>
      </x:c>
      <x:c r="O479" s="2" t="str">
        <x:v>Determinate from available evidence</x:v>
      </x:c>
    </x:row>
    <x:row r="480" ht="24" customHeight="1">
      <x:c r="A480" s="2" t="str">
        <x:v>R0465</x:v>
      </x:c>
      <x:c r="B480" s="2" t="str">
        <x:v>earendil-works/pi</x:v>
      </x:c>
      <x:c r="C480" s="2" t="n">
        <x:v>9953</x:v>
      </x:c>
      <x:c r="D480" s="2" t="str">
        <x:v>C04</x:v>
      </x:c>
      <x:c r="E480" s="2" t="str">
        <x:v>F03</x:v>
      </x:c>
      <x:c r="F480" s="2" t="str">
        <x:v>F03</x:v>
      </x:c>
      <x:c r="G480" s="2" t="str">
        <x:v>F03</x:v>
      </x:c>
      <x:c r="H480" s="2" t="str">
        <x:v>Validation and failure-path hardening</x:v>
      </x:c>
      <x:c r="I480" s="2" t="str">
        <x:v>Recorded as implemented in the source data</x:v>
      </x:c>
      <x:c r="J480" s="2" t="str">
        <x:v>Strict restrictions on refusal by mode fallback or error</x:v>
      </x:c>
      <x:c r="K480" s="2" t="str">
        <x:v>prefer sends non-strict, require clearly fails and avoids the whole uncontrolled request being rejected</x:v>
      </x:c>
      <x:c r="L480" s="2" t="str">
        <x:v>The two sets of labels agree and the original decision is retained; see the original annotations for the action and its association with the root cause.</x:v>
      </x:c>
      <x:c r="M480" s="2" t="str">
        <x:v>https://github.com/earendil-works/pi/issues/9953</x:v>
      </x:c>
      <x:c r="N480" s="2" t="str">
        <x:v>F03</x:v>
      </x:c>
      <x:c r="O480" s="2" t="str">
        <x:v>Determinate from available evidence</x:v>
      </x:c>
    </x:row>
    <x:row r="481" ht="24" customHeight="1">
      <x:c r="A481" s="2" t="str">
        <x:v>R0467</x:v>
      </x:c>
      <x:c r="B481" s="2" t="str">
        <x:v>earendil-works/pi</x:v>
      </x:c>
      <x:c r="C481" s="2" t="n">
        <x:v>10239</x:v>
      </x:c>
      <x:c r="D481" s="2" t="str">
        <x:v>C05</x:v>
      </x:c>
      <x:c r="E481" s="2" t="str">
        <x:v>F01</x:v>
      </x:c>
      <x:c r="F481" s="2" t="str">
        <x:v>F01</x:v>
      </x:c>
      <x:c r="G481" s="2" t="str">
        <x:v>F01</x:v>
      </x:c>
      <x:c r="H481" s="2" t="str">
        <x:v>Representation and usage-contract alignment</x:v>
      </x:c>
      <x:c r="I481" s="2" t="str">
        <x:v>Recorded as implemented in the source data</x:v>
      </x:c>
      <x:c r="J481" s="2" t="str">
        <x:v>MCP name unification and determination hash disagreement</x:v>
      </x:c>
      <x:c r="K481" s="2" t="str">
        <x:v>Let tool and codemode use the same identification rules for namespaces</x:v>
      </x:c>
      <x:c r="L481" s="2" t="str">
        <x:v>The two sets of labels agree and the original decision is retained; see the original annotations for the action and its association with the root cause.</x:v>
      </x:c>
      <x:c r="M481" s="2" t="str">
        <x:v>https://github.com/earendil-works/pi/issues/10239</x:v>
      </x:c>
      <x:c r="N481" s="2" t="str">
        <x:v>F01</x:v>
      </x:c>
      <x:c r="O481" s="2" t="str">
        <x:v>Determinate from available evidence</x:v>
      </x:c>
    </x:row>
    <x:row r="482" ht="24" customHeight="1">
      <x:c r="A482" s="2" t="str">
        <x:v>R0470</x:v>
      </x:c>
      <x:c r="B482" s="2" t="str">
        <x:v>earendil-works/pi</x:v>
      </x:c>
      <x:c r="C482" s="2" t="n">
        <x:v>10424</x:v>
      </x:c>
      <x:c r="D482" s="2" t="str">
        <x:v>C03</x:v>
      </x:c>
      <x:c r="E482" s="2" t="str">
        <x:v>F01</x:v>
      </x:c>
      <x:c r="F482" s="2" t="str">
        <x:v>F01</x:v>
      </x:c>
      <x:c r="G482" s="2" t="str">
        <x:v>F01</x:v>
      </x:c>
      <x:c r="H482" s="2" t="str">
        <x:v>Representation and usage-contract alignment</x:v>
      </x:c>
      <x:c r="I482" s="2" t="str">
        <x:v>Recorded as implemented in the source data</x:v>
      </x:c>
      <x:c r="J482" s="2" t="str">
        <x:v>Meeting allocates UUID to the perpetuation provider and passes it to the generating compression</x:v>
      </x:c>
      <x:c r="K482" s="2" t="str">
        <x:v>Create internal digital ID and provider session identity mapping and not shared harness identity</x:v>
      </x:c>
      <x:c r="L482" s="2" t="str">
        <x:v>The two sets of labels agree and the original decision is retained; see the original annotations for the action and its association with the root cause.</x:v>
      </x:c>
      <x:c r="M482" s="2" t="str">
        <x:v>https://github.com/earendil-works/pi/issues/10424</x:v>
      </x:c>
      <x:c r="N482" s="2" t="str">
        <x:v>F01</x:v>
      </x:c>
      <x:c r="O482" s="2" t="str">
        <x:v>Determinate from available evidence</x:v>
      </x:c>
    </x:row>
  </x:sheetData>
  <x:pageMargins left="0.7" right="0.7" top="0.75" bottom="0.75" header="0.3" footer="0.3"/>
  <x:tableParts count="1">
    <x:tablePart xmlns:r="http://schemas.openxmlformats.org/officeDocument/2006/relationships" r:id="Rbde23e260e9c45c6"/>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34" hidden="0" customWidth="1"/>
    <x:col min="3" max="3" width="12" hidden="0" customWidth="1"/>
    <x:col min="4" max="4" width="12" hidden="0" customWidth="1"/>
    <x:col min="5" max="5" width="14" hidden="0" customWidth="1"/>
    <x:col min="6" max="6" width="14" hidden="0" customWidth="1"/>
    <x:col min="7" max="7" width="18" hidden="0" customWidth="1"/>
    <x:col min="8" max="8" width="32" hidden="0" customWidth="1"/>
    <x:col min="9" max="9" width="24" hidden="0" customWidth="1"/>
    <x:col min="10" max="10" width="65" hidden="0" customWidth="1"/>
    <x:col min="11" max="11" width="80" hidden="0" customWidth="1"/>
    <x:col min="12" max="12" width="100" hidden="0" customWidth="1"/>
    <x:col min="13" max="13" width="65" hidden="0" customWidth="1"/>
    <x:col min="14" max="14" width="18" hidden="0" customWidth="1"/>
    <x:col min="15" max="15" width="28" hidden="0" customWidth="1"/>
  </x:cols>
  <x:sheetData>
    <x:row r="1" ht="42" customHeight="1">
      <x:c r="A1" s="1" t="str">
        <x:v>Record ID</x:v>
      </x:c>
      <x:c r="B1" s="1" t="str">
        <x:v>Repository</x:v>
      </x:c>
      <x:c r="C1" s="1" t="str">
        <x:v>Issue</x:v>
      </x:c>
      <x:c r="D1" s="1" t="str">
        <x:v>Root-cause ID</x:v>
      </x:c>
      <x:c r="E1" s="1" t="str">
        <x:v>Round A original label</x:v>
      </x:c>
      <x:c r="F1" s="1" t="str">
        <x:v>Round B original label</x:v>
      </x:c>
      <x:c r="G1" s="1" t="str">
        <x:v>Single final label</x:v>
      </x:c>
      <x:c r="H1" s="1" t="str">
        <x:v>Repair strategy</x:v>
      </x:c>
      <x:c r="I1" s="1" t="str">
        <x:v>Implementation status</x:v>
      </x:c>
      <x:c r="J1" s="1" t="str">
        <x:v>Implemented or proposed repair action</x:v>
      </x:c>
      <x:c r="K1" s="1" t="str">
        <x:v>Assignment rationale</x:v>
      </x:c>
      <x:c r="L1" s="1" t="str">
        <x:v>Final review record</x:v>
      </x:c>
      <x:c r="M1" s="1" t="str">
        <x:v>URL</x:v>
      </x:c>
      <x:c r="N1" s="1" t="str">
        <x:v>Evidence-review label</x:v>
      </x:c>
      <x:c r="O1" s="1" t="str">
        <x:v>Assignment type</x:v>
      </x:c>
    </x:row>
    <x:row r="2" ht="48.5" customHeight="1">
      <x:c r="A2" s="2" t="str">
        <x:v>P0228</x:v>
      </x:c>
      <x:c r="B2" s="2" t="str">
        <x:v>NousResearch/hermes-agent</x:v>
      </x:c>
      <x:c r="C2" s="2" t="n">
        <x:v>59369</x:v>
      </x:c>
      <x:c r="D2" s="2" t="str">
        <x:v>C24</x:v>
      </x:c>
      <x:c r="E2" s="2" t="str">
        <x:v>U1</x:v>
      </x:c>
      <x:c r="F2" s="2" t="str">
        <x:v>U1</x:v>
      </x:c>
      <x:c r="G2" s="2" t="str">
        <x:v>F02</x:v>
      </x:c>
      <x:c r="H2" s="2" t="str">
        <x:v>Execution-flow and state correction</x:v>
      </x:c>
      <x:c r="I2" s="2" t="str">
        <x:v>Insufficient association evidence</x:v>
      </x:c>
      <x:c r="J2" s="2" t="str">
        <x:v>Recommended Action: Recommended to receive usage events and record, query and report on independent plugins.</x:v>
      </x:c>
      <x:c r="K2" s="2" t="str">
        <x:v>The unincorporated proposal contains SQLite consumption tracking, records of closest observed events, and maintenance of query status; functional proposals, not verified defects fixing.  This is an additional closest-fit assignment, not an established repair fact.</x:v>
      </x:c>
      <x:c r="L2" s="2" t="str">
        <x:v>One closest-fit strategy is selected as additionally requested.  The unincorporated proposal contains SQLite consumption tracking, records of closest observed events, and maintenance of query status; functional proposals, not verified defects fixing.  This is an additional closest-fit assignment, not an established repair fact.  The original evidence review is U1; this does not establish that a targeted repair has been verified.</x:v>
      </x:c>
      <x:c r="M2" s="2" t="str">
        <x:v>https://github.com/NousResearch/hermes-agent/issues/59369</x:v>
      </x:c>
      <x:c r="N2" s="2" t="str">
        <x:v>U1</x:v>
      </x:c>
      <x:c r="O2" s="2" t="str">
        <x:v>Closest fit to the intent described in the summary</x:v>
      </x:c>
    </x:row>
    <x:row r="3" ht="48.5" customHeight="1">
      <x:c r="A3" s="2" t="str">
        <x:v>P0217</x:v>
      </x:c>
      <x:c r="B3" s="2" t="str">
        <x:v>NousResearch/hermes-agent</x:v>
      </x:c>
      <x:c r="C3" s="2" t="n">
        <x:v>43946</x:v>
      </x:c>
      <x:c r="D3" s="2" t="str">
        <x:v>C04</x:v>
      </x:c>
      <x:c r="E3" s="2" t="str">
        <x:v>U1</x:v>
      </x:c>
      <x:c r="F3" s="2" t="str">
        <x:v>U1</x:v>
      </x:c>
      <x:c r="G3" s="2" t="str">
        <x:v>F01</x:v>
      </x:c>
      <x:c r="H3" s="2" t="str">
        <x:v>Representation and usage-contract alignment</x:v>
      </x:c>
      <x:c r="I3" s="2" t="str">
        <x:v>Workaround only or existing behavior</x:v>
      </x:c>
      <x:c r="J3" s="2" t="str">
        <x:v>Suggested action (presumption): Suggested inspection Bedrock Request press Converse tool and block formatting.</x:v>
      </x:c>
      <x:c r="K3" s="2" t="str">
        <x:v>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x:v>
      </x:c>
      <x:c r="L3" s="2" t="str">
        <x:v>One closest-fit strategy is selected as additionally requested.  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  The original evidence review is U1; this does not establish that a targeted repair has been verified.</x:v>
      </x:c>
      <x:c r="M3" s="2" t="str">
        <x:v>https://github.com/NousResearch/hermes-agent/issues/43946</x:v>
      </x:c>
      <x:c r="N3" s="2" t="str">
        <x:v>U1</x:v>
      </x:c>
      <x:c r="O3" s="2" t="str">
        <x:v>Closest fit to the intent described in the summary</x:v>
      </x:c>
    </x:row>
    <x:row r="4" ht="35" customHeight="1">
      <x:c r="A4" s="2" t="str">
        <x:v>P0212</x:v>
      </x:c>
      <x:c r="B4" s="2" t="str">
        <x:v>NousResearch/hermes-agent</x:v>
      </x:c>
      <x:c r="C4" s="2" t="n">
        <x:v>40795</x:v>
      </x:c>
      <x:c r="D4" s="2" t="str">
        <x:v>C13</x:v>
      </x:c>
      <x:c r="E4" s="2" t="str">
        <x:v>F01</x:v>
      </x:c>
      <x:c r="F4" s="2" t="str">
        <x:v>F03</x:v>
      </x:c>
      <x:c r="G4" s="2" t="str">
        <x:v>F03</x:v>
      </x:c>
      <x:c r="H4" s="2" t="str">
        <x:v>Validation and failure-path hardening</x:v>
      </x:c>
      <x:c r="I4" s="2" t="str">
        <x:v>Recorded as implemented in the source data</x:v>
      </x:c>
      <x:c r="J4" s="2" t="str">
        <x:v>Switch the block as an error result feedback and rollback interface</x:v>
      </x:c>
      <x:c r="K4" s="2" t="str">
        <x:v>RPC4009 and hook fail rollback change the failure status decision, not just change the user document.</x:v>
      </x:c>
      <x:c r="L4" s="2" t="str">
        <x:v>Integrating Task Back to Freeze Source Material: RPC4009 and hook Failure rollback Changes the Failure Status Decision, not just changing the user script.</x:v>
      </x:c>
      <x:c r="M4" s="2" t="str">
        <x:v>https://github.com/NousResearch/hermes-agent/issues/40795</x:v>
      </x:c>
      <x:c r="N4" s="2" t="str">
        <x:v>F03</x:v>
      </x:c>
      <x:c r="O4" s="2" t="str">
        <x:v>Determinate from available evidence</x:v>
      </x:c>
    </x:row>
    <x:row r="5" ht="48.5" customHeight="1">
      <x:c r="A5" s="2" t="str">
        <x:v>P0203</x:v>
      </x:c>
      <x:c r="B5" s="2" t="str">
        <x:v>NousResearch/hermes-agent</x:v>
      </x:c>
      <x:c r="C5" s="2" t="n">
        <x:v>35829</x:v>
      </x:c>
      <x:c r="D5" s="2" t="str">
        <x:v>C22</x:v>
      </x:c>
      <x:c r="E5" s="2" t="str">
        <x:v>U1</x:v>
      </x:c>
      <x:c r="F5" s="2" t="str">
        <x:v>U1</x:v>
      </x:c>
      <x:c r="G5" s="2" t="str">
        <x:v>F02</x:v>
      </x:c>
      <x:c r="H5" s="2" t="str">
        <x:v>Execution-flow and state correction</x:v>
      </x:c>
      <x:c r="I5" s="2" t="str">
        <x:v>Insufficient association evidence</x:v>
      </x:c>
      <x:c r="J5" s="2" t="str">
        <x:v>Recommended action: Recommended assigning coding work to claude-code inputs in task categories and explicit configuration</x:v>
      </x:c>
      <x:c r="K5" s="2" t="str">
        <x:v>Model parameter candidates do not perform external CLI mandatory allocations; the coding task execution routing needs to be modified according to the main root cause.  An inferred match only; not recognized as a verified repair.</x:v>
      </x:c>
      <x:c r="L5" s="2" t="str">
        <x:v>One closest-fit strategy is selected as additionally requested.  Model parameter candidates do not perform external CLI mandatory allocations; the coding task execution routing needs to be modified according to the main root cause.  An inferred match only; not recognized as a verified repair.  The original evidence review is U1; this does not establish that a targeted repair has been verified.</x:v>
      </x:c>
      <x:c r="M5" s="2" t="str">
        <x:v>https://github.com/NousResearch/hermes-agent/issues/35829</x:v>
      </x:c>
      <x:c r="N5" s="2" t="str">
        <x:v>U1</x:v>
      </x:c>
      <x:c r="O5" s="2" t="str">
        <x:v>Inferred from the primary root cause</x:v>
      </x:c>
    </x:row>
    <x:row r="6" ht="35" customHeight="1">
      <x:c r="A6" s="2" t="str">
        <x:v>P0196</x:v>
      </x:c>
      <x:c r="B6" s="2" t="str">
        <x:v>NousResearch/hermes-agent</x:v>
      </x:c>
      <x:c r="C6" s="2" t="n">
        <x:v>33300</x:v>
      </x:c>
      <x:c r="D6" s="2" t="str">
        <x:v>C11</x:v>
      </x:c>
      <x:c r="E6" s="2" t="str">
        <x:v>F02</x:v>
      </x:c>
      <x:c r="F6" s="2" t="str">
        <x:v>F04</x:v>
      </x:c>
      <x:c r="G6" s="2" t="str">
        <x:v>F02</x:v>
      </x:c>
      <x:c r="H6" s="2" t="str">
        <x:v>Execution-flow and state correction</x:v>
      </x:c>
      <x:c r="I6" s="2" t="str">
        <x:v>Recorded as implemented in the source data</x:v>
      </x:c>
      <x:c r="J6" s="2" t="str">
        <x:v>Standard input for separating TUI subprocesses</x:v>
      </x:c>
      <x:c r="K6" s="2" t="str">
        <x:v>A common lifecycle is to disconnect shared stdin solutions from application subprocesses and gateway input resource competition. </x:v>
      </x:c>
      <x:c r="L6" s="2" t="str">
        <x:v>Integrating Task Back-Check Freeze Source Materials: Decompressed from the competition of input resources in shared stdin application subprocesses and gateways, which are part of a normal lifecycle.</x:v>
      </x:c>
      <x:c r="M6" s="2" t="str">
        <x:v>https://github.com/NousResearch/hermes-agent/issues/33300</x:v>
      </x:c>
      <x:c r="N6" s="2" t="str">
        <x:v>F02</x:v>
      </x:c>
      <x:c r="O6" s="2" t="str">
        <x:v>Determinate from available evidence</x:v>
      </x:c>
    </x:row>
    <x:row r="7" ht="48.5" customHeight="1">
      <x:c r="A7" s="2" t="str">
        <x:v>P0195</x:v>
      </x:c>
      <x:c r="B7" s="2" t="str">
        <x:v>NousResearch/hermes-agent</x:v>
      </x:c>
      <x:c r="C7" s="2" t="n">
        <x:v>33143</x:v>
      </x:c>
      <x:c r="D7" s="2" t="str">
        <x:v>C08</x:v>
      </x:c>
      <x:c r="E7" s="2" t="str">
        <x:v>U1</x:v>
      </x:c>
      <x:c r="F7" s="2" t="str">
        <x:v>U1</x:v>
      </x:c>
      <x:c r="G7" s="2" t="str">
        <x:v>F01</x:v>
      </x:c>
      <x:c r="H7" s="2" t="str">
        <x:v>Representation and usage-contract alignment</x:v>
      </x:c>
      <x:c r="I7" s="2" t="str">
        <x:v>Workaround only or existing behavior</x:v>
      </x:c>
      <x:c r="J7" s="2" t="str">
        <x:v>Recommended Action: Recommended to clarify the general rules of SOUL and unified documentation guidelines for responsibilities</x:v>
      </x:c>
      <x:c r="K7" s="2" t="str">
        <x:v>Summary Named with SOUL alternative hard-coding identity and the Universal Rules Document, closest to Universal Directions for use of contracts.  An inferred match only; not recognized as a verified repair.</x:v>
      </x:c>
      <x:c r="L7" s="2" t="str">
        <x:v>One closest-fit strategy is selected as additionally requested.  Summary Named with SOUL alternative hard-coding identity and the Universal Rules Document, closest to Universal Directions for use of contracts.  An inferred match only; not recognized as a verified repair.  The original evidence review is U1; this does not establish that a targeted repair has been verified.</x:v>
      </x:c>
      <x:c r="M7" s="2" t="str">
        <x:v>https://github.com/NousResearch/hermes-agent/issues/33143</x:v>
      </x:c>
      <x:c r="N7" s="2" t="str">
        <x:v>U1</x:v>
      </x:c>
      <x:c r="O7" s="2" t="str">
        <x:v>Closest fit to the intent described in the summary</x:v>
      </x:c>
    </x:row>
    <x:row r="8" ht="35" customHeight="1">
      <x:c r="A8" s="2" t="str">
        <x:v>P0193</x:v>
      </x:c>
      <x:c r="B8" s="2" t="str">
        <x:v>NousResearch/hermes-agent</x:v>
      </x:c>
      <x:c r="C8" s="2" t="n">
        <x:v>32662</x:v>
      </x:c>
      <x:c r="D8" s="2" t="str">
        <x:v>C08</x:v>
      </x:c>
      <x:c r="E8" s="2" t="str">
        <x:v>F01</x:v>
      </x:c>
      <x:c r="F8" s="2" t="str">
        <x:v>F02</x:v>
      </x:c>
      <x:c r="G8" s="2" t="str">
        <x:v>F02</x:v>
      </x:c>
      <x:c r="H8" s="2" t="str">
        <x:v>Execution-flow and state correction</x:v>
      </x:c>
      <x:c r="I8" s="2" t="str">
        <x:v>Partial coverage</x:v>
      </x:c>
      <x:c r="J8" s="2" t="str">
        <x:v>Unified extraction of user instructions and stripping of Skill handles</x:v>
      </x:c>
      <x:c r="K8" s="2" t="str">
        <x:v>Unanimously extract user instructions to determine which memory will be received context;residuals transcript Path not yet overwrite, reserve part status.</x:v>
      </x:c>
      <x:c r="L8" s="2" t="str">
        <x:v>Reconciling tasks to check frozen source material: unified extraction of user instructions to determine which memory to receive context;residuals transcript Path not yet overwrite, reserve part status.</x:v>
      </x:c>
      <x:c r="M8" s="2" t="str">
        <x:v>https://github.com/NousResearch/hermes-agent/issues/32662</x:v>
      </x:c>
      <x:c r="N8" s="2" t="str">
        <x:v>F02</x:v>
      </x:c>
      <x:c r="O8" s="2" t="str">
        <x:v>Determinate from available evidence</x:v>
      </x:c>
    </x:row>
    <x:row r="9" ht="35" customHeight="1">
      <x:c r="A9" s="2" t="str">
        <x:v>P0148</x:v>
      </x:c>
      <x:c r="B9" s="2" t="str">
        <x:v>NousResearch/hermes-agent</x:v>
      </x:c>
      <x:c r="C9" s="2" t="n">
        <x:v>5590</x:v>
      </x:c>
      <x:c r="D9" s="2" t="str">
        <x:v>C12</x:v>
      </x:c>
      <x:c r="E9" s="2" t="str">
        <x:v>F01</x:v>
      </x:c>
      <x:c r="F9" s="2" t="str">
        <x:v>F02</x:v>
      </x:c>
      <x:c r="G9" s="2" t="str">
        <x:v>F02</x:v>
      </x:c>
      <x:c r="H9" s="2" t="str">
        <x:v>Execution-flow and state correction</x:v>
      </x:c>
      <x:c r="I9" s="2" t="str">
        <x:v>Recorded as implemented in the source data</x:v>
      </x:c>
      <x:c r="J9" s="2" t="str">
        <x:v>Use explicit None to judge and develop full-size tool sets</x:v>
      </x:c>
      <x:c r="K9" s="2" t="str">
        <x:v>The state selection of the accumulated tool set for explicit is not None and all tool branches; not the fallback for safe abnormalities.</x:v>
      </x:c>
      <x:c r="L9" s="2" t="str">
        <x:v>Integrating task back-checking freeze source material: explicit is not None and full tool branch recovery state selection of tool collection; not fallback for safe for abnormalities.</x:v>
      </x:c>
      <x:c r="M9" s="2" t="str">
        <x:v>https://github.com/NousResearch/hermes-agent/issues/5590</x:v>
      </x:c>
      <x:c r="N9" s="2" t="str">
        <x:v>F02</x:v>
      </x:c>
      <x:c r="O9" s="2" t="str">
        <x:v>Determinate from available evidence</x:v>
      </x:c>
    </x:row>
    <x:row r="10" ht="48.5" customHeight="1">
      <x:c r="A10" s="2" t="str">
        <x:v>P0103</x:v>
      </x:c>
      <x:c r="B10" s="2" t="str">
        <x:v>openclaw/openclaw</x:v>
      </x:c>
      <x:c r="C10" s="2" t="n">
        <x:v>93173</x:v>
      </x:c>
      <x:c r="D10" s="2" t="str">
        <x:v>C03</x:v>
      </x:c>
      <x:c r="E10" s="2" t="str">
        <x:v>F01</x:v>
      </x:c>
      <x:c r="F10" s="2" t="str">
        <x:v>U1</x:v>
      </x:c>
      <x:c r="G10" s="2" t="str">
        <x:v>F01</x:v>
      </x:c>
      <x:c r="H10" s="2" t="str">
        <x:v>Representation and usage-contract alignment</x:v>
      </x:c>
      <x:c r="I10" s="2" t="str">
        <x:v>Recorded as implemented in the source data</x:v>
      </x:c>
      <x:c r="J10" s="2" t="str">
        <x:v>Recommended Action: It is recommended that the details of the proposal be submitted to the approval shipment and alternative calibrations await the budget.</x:v>
      </x:c>
      <x:c r="K10" s="2" t="str">
        <x:v>The primary root cause is that the proposed metadata has not been passed on to the user, closest to the decision information contract; pre-card death is accompanied by running budget issues. This is an additional closest-fit assignment, not an established repair fact.</x:v>
      </x:c>
      <x:c r="L10" s="2" t="str">
        <x:v>One closest-fit strategy is selected as additionally requested.  The primary root cause is that the proposed metadata has not been passed on to the user, closest to the decision information contract; pre-card death is accompanied by running budget issues. This is an additional closest-fit assignment, not an established repair fact.  The original evidence review is U1; this does not establish that a targeted repair has been verified.</x:v>
      </x:c>
      <x:c r="M10" s="2" t="str">
        <x:v>https://github.com/openclaw/openclaw/issues/93173</x:v>
      </x:c>
      <x:c r="N10" s="2" t="str">
        <x:v>U1</x:v>
      </x:c>
      <x:c r="O10" s="2" t="str">
        <x:v>Closest fit to the intent described in the summary</x:v>
      </x:c>
    </x:row>
    <x:row r="11" ht="35" customHeight="1">
      <x:c r="A11" s="2" t="str">
        <x:v>P0094</x:v>
      </x:c>
      <x:c r="B11" s="2" t="str">
        <x:v>openclaw/openclaw</x:v>
      </x:c>
      <x:c r="C11" s="2" t="n">
        <x:v>84572</x:v>
      </x:c>
      <x:c r="D11" s="2" t="str">
        <x:v>C01</x:v>
      </x:c>
      <x:c r="E11" s="2" t="str">
        <x:v>F01</x:v>
      </x:c>
      <x:c r="F11" s="2" t="str">
        <x:v>F03</x:v>
      </x:c>
      <x:c r="G11" s="2" t="str">
        <x:v>F01</x:v>
      </x:c>
      <x:c r="H11" s="2" t="str">
        <x:v>Representation and usage-contract alignment</x:v>
      </x:c>
      <x:c r="I11" s="2" t="str">
        <x:v>Recorded as implemented in the source data</x:v>
      </x:c>
      <x:c r="J11" s="2" t="str">
        <x:v>Added word boundary checks after slash command forecasts</x:v>
      </x:c>
      <x:c r="K11" s="2" t="str">
        <x:v>The word boundary belongs to the normal slash command word law parsing rules, which change the syntax recognition of the command, not illegal input authorization refusal.</x:v>
      </x:c>
      <x:c r="L11" s="2" t="str">
        <x:v>Integrating task back-checking frozen source material: word boundaries belong to normal slash command lexical parsing rules, changing the syntax recognition of commands, not illegal input authorization refusal.</x:v>
      </x:c>
      <x:c r="M11" s="2" t="str">
        <x:v>https://github.com/openclaw/openclaw/issues/84572</x:v>
      </x:c>
      <x:c r="N11" s="2" t="str">
        <x:v>F01</x:v>
      </x:c>
      <x:c r="O11" s="2" t="str">
        <x:v>Determinate from available evidence</x:v>
      </x:c>
    </x:row>
    <x:row r="12" ht="35" customHeight="1">
      <x:c r="A12" s="2" t="str">
        <x:v>P0177</x:v>
      </x:c>
      <x:c r="B12" s="2" t="str">
        <x:v>NousResearch/hermes-agent</x:v>
      </x:c>
      <x:c r="C12" s="2" t="n">
        <x:v>19040</x:v>
      </x:c>
      <x:c r="D12" s="2" t="str">
        <x:v>C05</x:v>
      </x:c>
      <x:c r="E12" s="2" t="str">
        <x:v>F03</x:v>
      </x:c>
      <x:c r="F12" s="2" t="str">
        <x:v>F01</x:v>
      </x:c>
      <x:c r="G12" s="2" t="str">
        <x:v>F01</x:v>
      </x:c>
      <x:c r="H12" s="2" t="str">
        <x:v>Representation and usage-contract alignment</x:v>
      </x:c>
      <x:c r="I12" s="2" t="str">
        <x:v>Recorded as implemented in the source data</x:v>
      </x:c>
      <x:c r="J12" s="2" t="str">
        <x:v>Obviously record Skill sources and exclude manual Skill</x:v>
      </x:c>
      <x:c r="K12" s="2" t="str">
        <x:v>Writing in created_by and identifying the source accordingly is a source-related contract calibration, excluding manual Skill consumption behaviour for that label.</x:v>
      </x:c>
      <x:c r="L12" s="2" t="str">
        <x:v>Integrating task back-checking for frozen source material: enter created_by and identify the source accordingly as a source-associated contract calibration, excluding manual Skill consumption behavior for that label.</x:v>
      </x:c>
      <x:c r="M12" s="2" t="str">
        <x:v>https://github.com/NousResearch/hermes-agent/issues/19040</x:v>
      </x:c>
      <x:c r="N12" s="2" t="str">
        <x:v>F01</x:v>
      </x:c>
      <x:c r="O12" s="2" t="str">
        <x:v>Determinate from available evidence</x:v>
      </x:c>
    </x:row>
    <x:row r="13" ht="35" customHeight="1">
      <x:c r="A13" s="2" t="str">
        <x:v>P0175</x:v>
      </x:c>
      <x:c r="B13" s="2" t="str">
        <x:v>NousResearch/hermes-agent</x:v>
      </x:c>
      <x:c r="C13" s="2" t="n">
        <x:v>18981</x:v>
      </x:c>
      <x:c r="D13" s="2" t="str">
        <x:v>C15</x:v>
      </x:c>
      <x:c r="E13" s="2" t="str">
        <x:v>F01</x:v>
      </x:c>
      <x:c r="F13" s="2" t="str">
        <x:v>F03</x:v>
      </x:c>
      <x:c r="G13" s="2" t="str">
        <x:v>F01</x:v>
      </x:c>
      <x:c r="H13" s="2" t="str">
        <x:v>Representation and usage-contract alignment</x:v>
      </x:c>
      <x:c r="I13" s="2" t="str">
        <x:v>Partial coverage</x:v>
      </x:c>
      <x:c r="J13" s="2" t="str">
        <x:v>Adding incredible separation and memory scanning to high-risk tool results</x:v>
      </x:c>
      <x:c r="K13" s="2" t="str">
        <x:v>The direct action against the unreliable boundary of tool results is to add a source separation tag; sharing scanning is accompanied by the action, and text cannot be isolated when the authorization access is blocked. </x:v>
      </x:c>
      <x:c r="L13" s="2" t="str">
        <x:v>Integrating task back to freeze source material: the direct action against tool results is to add a source separation tag; sharing scanning is an accompanying action, and text cannot be isolated when definite authorization access is blocked.</x:v>
      </x:c>
      <x:c r="M13" s="2" t="str">
        <x:v>https://github.com/NousResearch/hermes-agent/issues/18981</x:v>
      </x:c>
      <x:c r="N13" s="2" t="str">
        <x:v>F01</x:v>
      </x:c>
      <x:c r="O13" s="2" t="str">
        <x:v>Determinate from available evidence</x:v>
      </x:c>
    </x:row>
    <x:row r="14" ht="35" customHeight="1">
      <x:c r="A14" s="2" t="str">
        <x:v>P0165</x:v>
      </x:c>
      <x:c r="B14" s="2" t="str">
        <x:v>NousResearch/hermes-agent</x:v>
      </x:c>
      <x:c r="C14" s="2" t="n">
        <x:v>15218</x:v>
      </x:c>
      <x:c r="D14" s="2" t="str">
        <x:v>C24</x:v>
      </x:c>
      <x:c r="E14" s="2" t="str">
        <x:v>F02</x:v>
      </x:c>
      <x:c r="F14" s="2" t="str">
        <x:v>F03</x:v>
      </x:c>
      <x:c r="G14" s="2" t="str">
        <x:v>F02</x:v>
      </x:c>
      <x:c r="H14" s="2" t="str">
        <x:v>Execution-flow and state correction</x:v>
      </x:c>
      <x:c r="I14" s="2" t="str">
        <x:v>Recorded as implemented in the source data</x:v>
      </x:c>
      <x:c r="J14" s="2" t="str">
        <x:v>Interrupting the cycle of skipping external memory synchronization</x:v>
      </x:c>
      <x:c r="K14" s="2" t="str">
        <x:v>Interrupting rotation does not enter external memory synchronization, correcting the end of normal operation with persistent forward conditions.</x:v>
      </x:c>
      <x:c r="L14" s="2" t="str">
        <x:v>Integrating task back-check freeze source material: interruption rounds do not enter external memory sync, correcting normal running endings with persistent forwarding conditions.</x:v>
      </x:c>
      <x:c r="M14" s="2" t="str">
        <x:v>https://github.com/NousResearch/hermes-agent/issues/15218</x:v>
      </x:c>
      <x:c r="N14" s="2" t="str">
        <x:v>F02</x:v>
      </x:c>
      <x:c r="O14" s="2" t="str">
        <x:v>Determinate from available evidence</x:v>
      </x:c>
    </x:row>
    <x:row r="15" ht="48.5" customHeight="1">
      <x:c r="A15" s="2" t="str">
        <x:v>P0162</x:v>
      </x:c>
      <x:c r="B15" s="2" t="str">
        <x:v>NousResearch/hermes-agent</x:v>
      </x:c>
      <x:c r="C15" s="2" t="n">
        <x:v>13031</x:v>
      </x:c>
      <x:c r="D15" s="2" t="str">
        <x:v>C04</x:v>
      </x:c>
      <x:c r="E15" s="2" t="str">
        <x:v>F01</x:v>
      </x:c>
      <x:c r="F15" s="2" t="str">
        <x:v>U1</x:v>
      </x:c>
      <x:c r="G15" s="2" t="str">
        <x:v>F01</x:v>
      </x:c>
      <x:c r="H15" s="2" t="str">
        <x:v>Representation and usage-contract alignment</x:v>
      </x:c>
      <x:c r="I15" s="2" t="str">
        <x:v>Candidate change not merged</x:v>
      </x:c>
      <x:c r="J15" s="2" t="str">
        <x:v>Recommended action: Recommended to incorporate DashScope compatibility endpoints into Qwen adaptations and output actual tool invocation structures.</x:v>
      </x:c>
      <x:c r="K15" s="2" t="str">
        <x:v>The candidates are just for repair Qwen tool invocation The specific mechanisms need to be established root cause Presumption Compatible peer recognition and message format alignment.  This is an additional closest-fit assignment, not an established repair fact.</x:v>
      </x:c>
      <x:c r="L15" s="2" t="str">
        <x:v>One closest-fit strategy is selected as additionally requested.  The candidates are just for repair Qwen tool invocation The specific mechanisms need to be established root cause Presumption Compatible peer recognition and message format alignment.  This is an additional closest-fit assignment, not an established repair fact.  The original evidence review is U1; this does not establish that a targeted repair has been verified.</x:v>
      </x:c>
      <x:c r="M15" s="2" t="str">
        <x:v>https://github.com/NousResearch/hermes-agent/issues/13031</x:v>
      </x:c>
      <x:c r="N15" s="2" t="str">
        <x:v>U1</x:v>
      </x:c>
      <x:c r="O15" s="2" t="str">
        <x:v>Inferred from the primary root cause</x:v>
      </x:c>
    </x:row>
    <x:row r="16" ht="48.5" customHeight="1">
      <x:c r="A16" s="2" t="str">
        <x:v>P0159</x:v>
      </x:c>
      <x:c r="B16" s="2" t="str">
        <x:v>NousResearch/hermes-agent</x:v>
      </x:c>
      <x:c r="C16" s="2" t="n">
        <x:v>12643</x:v>
      </x:c>
      <x:c r="D16" s="2" t="str">
        <x:v>C04</x:v>
      </x:c>
      <x:c r="E16" s="2" t="str">
        <x:v>U1</x:v>
      </x:c>
      <x:c r="F16" s="2" t="str">
        <x:v>U1</x:v>
      </x:c>
      <x:c r="G16" s="2" t="str">
        <x:v>F01</x:v>
      </x:c>
      <x:c r="H16" s="2" t="str">
        <x:v>Representation and usage-contract alignment</x:v>
      </x:c>
      <x:c r="I16" s="2" t="str">
        <x:v>Insufficient association evidence</x:v>
      </x:c>
      <x:c r="J16" s="2" t="str">
        <x:v>Suggested action (presumption): Recommendations for verification custom provider tool Declarations, invocation The result is a contract with the terminal execution interface.</x:v>
      </x:c>
      <x:c r="K16" s="2" t="str">
        <x:v>Terminal tool Title does not indicate repair, old custom provider and tool The combination is unpositioned; only low confidence Both recommendations invocation Compact alignment.  This is an additional closest-fit assignment, not an established repair fact.</x:v>
      </x:c>
      <x:c r="L16" s="2" t="str">
        <x:v>One closest-fit strategy is selected as additionally requested.  Terminal tool Title does not indicate repair, old custom provider and tool The combination is unpositioned; only low confidence Both recommendations invocation Compact alignment.  This is an additional closest-fit assignment, not an established repair fact.  The original evidence review is U1; this does not establish that a targeted repair has been verified.</x:v>
      </x:c>
      <x:c r="M16" s="2" t="str">
        <x:v>https://github.com/NousResearch/hermes-agent/issues/12643</x:v>
      </x:c>
      <x:c r="N16" s="2" t="str">
        <x:v>U1</x:v>
      </x:c>
      <x:c r="O16" s="2" t="str">
        <x:v>Inferred from the primary root cause</x:v>
      </x:c>
    </x:row>
    <x:row r="17" ht="48.5" customHeight="1">
      <x:c r="A17" s="2" t="str">
        <x:v>P0146</x:v>
      </x:c>
      <x:c r="B17" s="2" t="str">
        <x:v>NousResearch/hermes-agent</x:v>
      </x:c>
      <x:c r="C17" s="2" t="n">
        <x:v>5209</x:v>
      </x:c>
      <x:c r="D17" s="2" t="str">
        <x:v>C10</x:v>
      </x:c>
      <x:c r="E17" s="2" t="str">
        <x:v>U1</x:v>
      </x:c>
      <x:c r="F17" s="2" t="str">
        <x:v>U1</x:v>
      </x:c>
      <x:c r="G17" s="2" t="str">
        <x:v>F02</x:v>
      </x:c>
      <x:c r="H17" s="2" t="str">
        <x:v>Execution-flow and state correction</x:v>
      </x:c>
      <x:c r="I17" s="2" t="str">
        <x:v>Insufficient association evidence</x:v>
      </x:c>
      <x:c r="J17" s="2" t="str">
        <x:v>Suggested action (presumption): Recommendation verification scheduled task context Select and continue for only reflection or empty final messages.</x:v>
      </x:c>
      <x:c r="K17" s="2" t="str">
        <x:v>Can not get folder: %s: %s scheduled task context File, closest to execution context selection; it does not prove to be empty response, and test changes only.  This is an additional closest-fit assignment, not an established repair fact.</x:v>
      </x:c>
      <x:c r="L17" s="2" t="str">
        <x:v>One closest-fit strategy is selected as additionally requested.  Can not get folder: %s: %s scheduled task context File, closest to execution context selection; it does not prove to be empty response, and test changes only.  This is an additional closest-fit assignment, not an established repair fact.  The original evidence review is U1; this does not establish that a targeted repair has been verified.</x:v>
      </x:c>
      <x:c r="M17" s="2" t="str">
        <x:v>https://github.com/NousResearch/hermes-agent/issues/5209</x:v>
      </x:c>
      <x:c r="N17" s="2" t="str">
        <x:v>U1</x:v>
      </x:c>
      <x:c r="O17" s="2" t="str">
        <x:v>Closest fit to the intent described in the summary</x:v>
      </x:c>
    </x:row>
    <x:row r="18" ht="35" customHeight="1">
      <x:c r="A18" s="2" t="str">
        <x:v>P0145</x:v>
      </x:c>
      <x:c r="B18" s="2" t="str">
        <x:v>NousResearch/hermes-agent</x:v>
      </x:c>
      <x:c r="C18" s="2" t="n">
        <x:v>4889</x:v>
      </x:c>
      <x:c r="D18" s="2" t="str">
        <x:v>C08</x:v>
      </x:c>
      <x:c r="E18" s="2" t="str">
        <x:v>F01</x:v>
      </x:c>
      <x:c r="F18" s="2" t="str">
        <x:v>F02</x:v>
      </x:c>
      <x:c r="G18" s="2" t="str">
        <x:v>F02</x:v>
      </x:c>
      <x:c r="H18" s="2" t="str">
        <x:v>Execution-flow and state correction</x:v>
      </x:c>
      <x:c r="I18" s="2" t="str">
        <x:v>Candidate change not merged</x:v>
      </x:c>
      <x:c r="J18" s="2" t="str">
        <x:v>Clean user messages for memory synchronization and pre-input</x:v>
      </x:c>
      <x:c r="K18" s="2" t="str">
        <x:v>The context option is to replace the injected whole text with persist_user_message-compliant clean user messages. </x:v>
      </x:c>
      <x:c r="L18" s="2" t="str">
        <x:v>Integrating task back-checking frozen source material: Injected whole text with persist_user_message-responsive clean user messages instead of context selection.</x:v>
      </x:c>
      <x:c r="M18" s="2" t="str">
        <x:v>https://github.com/NousResearch/hermes-agent/issues/4889</x:v>
      </x:c>
      <x:c r="N18" s="2" t="str">
        <x:v>F02</x:v>
      </x:c>
      <x:c r="O18" s="2" t="str">
        <x:v>Determinate from available evidence</x:v>
      </x:c>
    </x:row>
    <x:row r="19" ht="48.5" customHeight="1">
      <x:c r="A19" s="2" t="str">
        <x:v>P0143</x:v>
      </x:c>
      <x:c r="B19" s="2" t="str">
        <x:v>NousResearch/hermes-agent</x:v>
      </x:c>
      <x:c r="C19" s="2" t="n">
        <x:v>4718</x:v>
      </x:c>
      <x:c r="D19" s="2" t="str">
        <x:v>C15</x:v>
      </x:c>
      <x:c r="E19" s="2" t="str">
        <x:v>F02</x:v>
      </x:c>
      <x:c r="F19" s="2" t="str">
        <x:v>F03</x:v>
      </x:c>
      <x:c r="G19" s="2" t="str">
        <x:v>F02</x:v>
      </x:c>
      <x:c r="H19" s="2" t="str">
        <x:v>Execution-flow and state correction</x:v>
      </x:c>
      <x:c r="I19" s="2" t="str">
        <x:v>Recorded as implemented in the source data</x:v>
      </x:c>
      <x:c r="J19" s="2" t="str">
        <x:v>Recommended Action: Recommended to save profile tokens separately and avoid narrower scope silent coverage that is already capable.</x:v>
      </x:c>
      <x:c r="K19" s="2" t="str">
        <x:v>Abstract The goal is to protect profile domain tokens, where the root cause is a heavy authentication covering an existing broad scope state, closest to the token domain preserving consistency. This is an additional closest-fit assignment, not an established repair fact.</x:v>
      </x:c>
      <x:c r="L19" s="2" t="str">
        <x:v>One closest-fit strategy is selected as additionally requested.  Abstract The goal is to protect profile domain tokens, where the root cause is a heavy authentication covering an existing broad scope state, closest to the token domain preserving consistency. This is an additional closest-fit assignment, not an established repair fact.  The original evidence review is U1; this does not establish that a targeted repair has been verified.</x:v>
      </x:c>
      <x:c r="M19" s="2" t="str">
        <x:v>https://github.com/NousResearch/hermes-agent/issues/4718</x:v>
      </x:c>
      <x:c r="N19" s="2" t="str">
        <x:v>U1</x:v>
      </x:c>
      <x:c r="O19" s="2" t="str">
        <x:v>Closest fit to the intent described in the summary</x:v>
      </x:c>
    </x:row>
    <x:row r="20" ht="35" customHeight="1">
      <x:c r="A20" s="2" t="str">
        <x:v>P0136</x:v>
      </x:c>
      <x:c r="B20" s="2" t="str">
        <x:v>NousResearch/hermes-agent</x:v>
      </x:c>
      <x:c r="C20" s="2" t="n">
        <x:v>3433</x:v>
      </x:c>
      <x:c r="D20" s="2" t="str">
        <x:v>C16</x:v>
      </x:c>
      <x:c r="E20" s="2" t="str">
        <x:v>F04</x:v>
      </x:c>
      <x:c r="F20" s="2" t="str">
        <x:v>F03</x:v>
      </x:c>
      <x:c r="G20" s="2" t="str">
        <x:v>F03</x:v>
      </x:c>
      <x:c r="H20" s="2" t="str">
        <x:v>Validation and failure-path hardening</x:v>
      </x:c>
      <x:c r="I20" s="2" t="str">
        <x:v>Recorded as implemented in the source data</x:v>
      </x:c>
      <x:c r="J20" s="2" t="str">
        <x:v>Remote readiness inspection acknowledges environment variable has been sustained</x:v>
      </x:c>
      <x:c r="K20" s="2" t="str">
        <x:v>Preparatory inspection requires identification of existing essential environment variable, the main action being to correct missing determination rather than deployment depending on installation. </x:v>
      </x:c>
      <x:c r="L20" s="2" t="str">
        <x:v>Integrating task back-checking for frozen source materials: Ready inspection requires identification of existing required environment variable, the main action is to correct missing determination, not deployment installation dependence.</x:v>
      </x:c>
      <x:c r="M20" s="2" t="str">
        <x:v>https://github.com/NousResearch/hermes-agent/issues/3433</x:v>
      </x:c>
      <x:c r="N20" s="2" t="str">
        <x:v>F03</x:v>
      </x:c>
      <x:c r="O20" s="2" t="str">
        <x:v>Determinate from available evidence</x:v>
      </x:c>
    </x:row>
    <x:row r="21" ht="48.5" customHeight="1">
      <x:c r="A21" s="2" t="str">
        <x:v>P0033</x:v>
      </x:c>
      <x:c r="B21" s="2" t="str">
        <x:v>openclaw/openclaw</x:v>
      </x:c>
      <x:c r="C21" s="2" t="n">
        <x:v>40159</x:v>
      </x:c>
      <x:c r="D21" s="2" t="str">
        <x:v>C16</x:v>
      </x:c>
      <x:c r="E21" s="2" t="str">
        <x:v>F02</x:v>
      </x:c>
      <x:c r="F21" s="2" t="str">
        <x:v>U1</x:v>
      </x:c>
      <x:c r="G21" s="2" t="str">
        <x:v>F02</x:v>
      </x:c>
      <x:c r="H21" s="2" t="str">
        <x:v>Execution-flow and state correction</x:v>
      </x:c>
      <x:c r="I21" s="2" t="str">
        <x:v>Insufficient association evidence</x:v>
      </x:c>
      <x:c r="J21" s="2" t="str">
        <x:v>Recommended action: Recommended session initial resolution to keep existing model provider coverage and verify actual derivative inputs.</x:v>
      </x:c>
      <x:c r="K21" s="2" t="str">
        <x:v>Unincorporated candidates explicitly remove coverage reading from resetTriggered conditions, closest to the new session status selection; actual running paths are disputed.  This is an additional closest-fit assignment, not an established repair fact.</x:v>
      </x:c>
      <x:c r="L21" s="2" t="str">
        <x:v>One closest-fit strategy is selected as additionally requested.  Unincorporated candidates explicitly remove coverage reading from resetTriggered conditions, closest to the new session status selection; actual running paths are disputed.  This is an additional closest-fit assignment, not an established repair fact.  The original evidence review is U1; this does not establish that a targeted repair has been verified.</x:v>
      </x:c>
      <x:c r="M21" s="2" t="str">
        <x:v>https://github.com/openclaw/openclaw/issues/40159</x:v>
      </x:c>
      <x:c r="N21" s="2" t="str">
        <x:v>U1</x:v>
      </x:c>
      <x:c r="O21" s="2" t="str">
        <x:v>Closest fit to the intent described in the summary</x:v>
      </x:c>
    </x:row>
    <x:row r="22" ht="35" customHeight="1">
      <x:c r="A22" s="2" t="str">
        <x:v>P0035</x:v>
      </x:c>
      <x:c r="B22" s="2" t="str">
        <x:v>openclaw/openclaw</x:v>
      </x:c>
      <x:c r="C22" s="2" t="n">
        <x:v>41436</x:v>
      </x:c>
      <x:c r="D22" s="2" t="str">
        <x:v>C05</x:v>
      </x:c>
      <x:c r="E22" s="2" t="str">
        <x:v>F01</x:v>
      </x:c>
      <x:c r="F22" s="2" t="str">
        <x:v>F03</x:v>
      </x:c>
      <x:c r="G22" s="2" t="str">
        <x:v>F03</x:v>
      </x:c>
      <x:c r="H22" s="2" t="str">
        <x:v>Validation and failure-path hardening</x:v>
      </x:c>
      <x:c r="I22" s="2" t="str">
        <x:v>Recorded as implemented in the source data</x:v>
      </x:c>
      <x:c r="J22" s="2" t="str">
        <x:v>Allows ACP session keys to write derivative gene fields</x:v>
      </x:c>
      <x:c r="K22" s="2" t="str">
        <x:v>The supportsSpawnLineage explicitly loosens field checks on the legitimate session keys, directly correcting incorrectly rejected boundary conditions.</x:v>
      </x:c>
      <x:c r="L22" s="2" t="str">
        <x:v>Integration task back-check freeze source material: supportsSpawnLineage explicitly loosens field checks on legitimate session keys, directly correcting incorrectly rejected boundary conditions.</x:v>
      </x:c>
      <x:c r="M22" s="2" t="str">
        <x:v>https://github.com/openclaw/openclaw/issues/41436</x:v>
      </x:c>
      <x:c r="N22" s="2" t="str">
        <x:v>F03</x:v>
      </x:c>
      <x:c r="O22" s="2" t="str">
        <x:v>Determinate from available evidence</x:v>
      </x:c>
    </x:row>
    <x:row r="23" ht="48.5" customHeight="1">
      <x:c r="A23" s="2" t="str">
        <x:v>P0045</x:v>
      </x:c>
      <x:c r="B23" s="2" t="str">
        <x:v>openclaw/openclaw</x:v>
      </x:c>
      <x:c r="C23" s="2" t="n">
        <x:v>49572</x:v>
      </x:c>
      <x:c r="D23" s="2" t="str">
        <x:v>C11</x:v>
      </x:c>
      <x:c r="E23" s="2" t="str">
        <x:v>U1</x:v>
      </x:c>
      <x:c r="F23" s="2" t="str">
        <x:v>U1</x:v>
      </x:c>
      <x:c r="G23" s="2" t="str">
        <x:v>F02</x:v>
      </x:c>
      <x:c r="H23" s="2" t="str">
        <x:v>Execution-flow and state correction</x:v>
      </x:c>
      <x:c r="I23" s="2" t="str">
        <x:v>Insufficient association evidence</x:v>
      </x:c>
      <x:c r="J23" s="2" t="str">
        <x:v>Recommended Action: Recommended that the compiler continue running with short-lived announcements to unlock and establish an independent awakened owner.</x:v>
      </x:c>
      <x:c r="K23" s="2" t="str">
        <x:v>abstract claims follows the compiler with a new wake-up run, closest to completing the follow-up run lifecycle; the induced submission is unrelated and the original behavior already exists.  This is an additional closest-fit assignment, not an established repair fact.</x:v>
      </x:c>
      <x:c r="L23" s="2" t="str">
        <x:v>One closest-fit strategy is selected as additionally requested.  abstract claims follows the compiler with a new wake-up run, closest to completing the follow-up run lifecycle; the induced submission is unrelated and the original behavior already exists.  This is an additional closest-fit assignment, not an established repair fact.  The original evidence review is U1; this does not establish that a targeted repair has been verified.</x:v>
      </x:c>
      <x:c r="M23" s="2" t="str">
        <x:v>https://github.com/openclaw/openclaw/issues/49572</x:v>
      </x:c>
      <x:c r="N23" s="2" t="str">
        <x:v>U1</x:v>
      </x:c>
      <x:c r="O23" s="2" t="str">
        <x:v>Closest fit to the intent described in the summary</x:v>
      </x:c>
    </x:row>
    <x:row r="24" ht="48.5" customHeight="1">
      <x:c r="A24" s="2" t="str">
        <x:v>P0058</x:v>
      </x:c>
      <x:c r="B24" s="2" t="str">
        <x:v>openclaw/openclaw</x:v>
      </x:c>
      <x:c r="C24" s="2" t="n">
        <x:v>57928</x:v>
      </x:c>
      <x:c r="D24" s="2" t="str">
        <x:v>C05</x:v>
      </x:c>
      <x:c r="E24" s="2" t="str">
        <x:v>U1</x:v>
      </x:c>
      <x:c r="F24" s="2" t="str">
        <x:v>U1</x:v>
      </x:c>
      <x:c r="G24" s="2" t="str">
        <x:v>F01</x:v>
      </x:c>
      <x:c r="H24" s="2" t="str">
        <x:v>Representation and usage-contract alignment</x:v>
      </x:c>
      <x:c r="I24" s="2" t="str">
        <x:v>Insufficient association evidence</x:v>
      </x:c>
      <x:c r="J24" s="2" t="str">
        <x:v>Recommended action: Recommended tool to carry the actual session and parent attribution fields with the message event, separated by the consumer's button.</x:v>
      </x:c>
      <x:c r="K24" s="2" t="str">
        <x:v>The relevant abstract may explicitly supplement the attribution metadata, closest to the event identity field contract; no proof of correction of sessionKey contamination.  This is an additional closest-fit assignment, not an established repair fact.</x:v>
      </x:c>
      <x:c r="L24" s="2" t="str">
        <x:v>One closest-fit strategy is selected as additionally requested.  The relevant abstract may explicitly supplement the attribution metadata, closest to the event identity field contract; no proof of correction of sessionKey contamination.  This is an additional closest-fit assignment, not an established repair fact.  The original evidence review is U1; this does not establish that a targeted repair has been verified.</x:v>
      </x:c>
      <x:c r="M24" s="2" t="str">
        <x:v>https://github.com/openclaw/openclaw/issues/57928</x:v>
      </x:c>
      <x:c r="N24" s="2" t="str">
        <x:v>U1</x:v>
      </x:c>
      <x:c r="O24" s="2" t="str">
        <x:v>Closest fit to the intent described in the summary</x:v>
      </x:c>
    </x:row>
    <x:row r="25" ht="48.5" customHeight="1">
      <x:c r="A25" s="2" t="str">
        <x:v>P0059</x:v>
      </x:c>
      <x:c r="B25" s="2" t="str">
        <x:v>openclaw/openclaw</x:v>
      </x:c>
      <x:c r="C25" s="2" t="n">
        <x:v>58424</x:v>
      </x:c>
      <x:c r="D25" s="2" t="str">
        <x:v>C10</x:v>
      </x:c>
      <x:c r="E25" s="2" t="str">
        <x:v>U1</x:v>
      </x:c>
      <x:c r="F25" s="2" t="str">
        <x:v>U1</x:v>
      </x:c>
      <x:c r="G25" s="2" t="str">
        <x:v>F02</x:v>
      </x:c>
      <x:c r="H25" s="2" t="str">
        <x:v>Execution-flow and state correction</x:v>
      </x:c>
      <x:c r="I25" s="2" t="str">
        <x:v>Workaround only or existing behavior</x:v>
      </x:c>
      <x:c r="J25" s="2" t="str">
        <x:v>Recommended action: Recommended to ensure that stop signals bypass the barrier queue and reach the target front runway.</x:v>
      </x:c>
      <x:c r="K25" s="2" t="str">
        <x:v>Summary List of suspension controllers, signal transmission and kill process paths closest to life cycle cancellation; these are already behaviours that have not been confirmed for actual failure. This is an additional closest-fit assignment, not an established repair fact.</x:v>
      </x:c>
      <x:c r="L25" s="2" t="str">
        <x:v>One closest-fit strategy is selected as additionally requested.  Summary List of suspension controllers, signal transmission and kill process paths closest to life cycle cancellation; these are already behaviours that have not been confirmed for actual failure. This is an additional closest-fit assignment, not an established repair fact.  The original evidence review is U1; this does not establish that a targeted repair has been verified.</x:v>
      </x:c>
      <x:c r="M25" s="2" t="str">
        <x:v>https://github.com/openclaw/openclaw/issues/58424</x:v>
      </x:c>
      <x:c r="N25" s="2" t="str">
        <x:v>U1</x:v>
      </x:c>
      <x:c r="O25" s="2" t="str">
        <x:v>Closest fit to the intent described in the summary</x:v>
      </x:c>
    </x:row>
    <x:row r="26" ht="48.5" customHeight="1">
      <x:c r="A26" s="2" t="str">
        <x:v>P0063</x:v>
      </x:c>
      <x:c r="B26" s="2" t="str">
        <x:v>openclaw/openclaw</x:v>
      </x:c>
      <x:c r="C26" s="2" t="n">
        <x:v>63018</x:v>
      </x:c>
      <x:c r="D26" s="2" t="str">
        <x:v>C19</x:v>
      </x:c>
      <x:c r="E26" s="2" t="str">
        <x:v>F02</x:v>
      </x:c>
      <x:c r="F26" s="2" t="str">
        <x:v>U1</x:v>
      </x:c>
      <x:c r="G26" s="2" t="str">
        <x:v>F02</x:v>
      </x:c>
      <x:c r="H26" s="2" t="str">
        <x:v>Execution-flow and state correction</x:v>
      </x:c>
      <x:c r="I26" s="2" t="str">
        <x:v>Workaround only or existing behavior</x:v>
      </x:c>
      <x:c r="J26" s="2" t="str">
        <x:v>Recommended Action: Recommended to keep the check plugins registry synchronized with the Universal Loop Operator when loaded while running.</x:v>
      </x:c>
      <x:c r="K26" s="2" t="str">
        <x:v>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x:v>
      </x:c>
      <x:c r="L26" s="2" t="str">
        <x:v>One closest-fit strategy is selected as additionally requested.  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  The original evidence review is U1; this does not establish that a targeted repair has been verified.</x:v>
      </x:c>
      <x:c r="M26" s="2" t="str">
        <x:v>https://github.com/openclaw/openclaw/issues/63018</x:v>
      </x:c>
      <x:c r="N26" s="2" t="str">
        <x:v>U1</x:v>
      </x:c>
      <x:c r="O26" s="2" t="str">
        <x:v>Closest fit to the intent described in the summary</x:v>
      </x:c>
    </x:row>
    <x:row r="27" ht="35" customHeight="1">
      <x:c r="A27" s="2" t="str">
        <x:v>P0067</x:v>
      </x:c>
      <x:c r="B27" s="2" t="str">
        <x:v>openclaw/openclaw</x:v>
      </x:c>
      <x:c r="C27" s="2" t="n">
        <x:v>67181</x:v>
      </x:c>
      <x:c r="D27" s="2" t="str">
        <x:v>C13</x:v>
      </x:c>
      <x:c r="E27" s="2" t="str">
        <x:v>F03</x:v>
      </x:c>
      <x:c r="F27" s="2" t="str">
        <x:v>F01</x:v>
      </x:c>
      <x:c r="G27" s="2" t="str">
        <x:v>F01</x:v>
      </x:c>
      <x:c r="H27" s="2" t="str">
        <x:v>Representation and usage-contract alignment</x:v>
      </x:c>
      <x:c r="I27" s="2" t="str">
        <x:v>Partial coverage</x:v>
      </x:c>
      <x:c r="J27" s="2" t="str">
        <x:v>The results of the execution determine whether recovery leads to failure.</x:v>
      </x:c>
      <x:c r="K27" s="2" t="str">
        <x:v>Only the results of the success hide internal recovery banners, command success and session recovery processing remain unchanged. </x:v>
      </x:c>
      <x:c r="L27" s="2" t="str">
        <x:v>Integrating task back-checking frozen source material: only after successful results hide internal recovery banners, command success and session reset processing unchanged, is feedback representing a contract.</x:v>
      </x:c>
      <x:c r="M27" s="2" t="str">
        <x:v>https://github.com/openclaw/openclaw/issues/67181</x:v>
      </x:c>
      <x:c r="N27" s="2" t="str">
        <x:v>F01</x:v>
      </x:c>
      <x:c r="O27" s="2" t="str">
        <x:v>Determinate from available evidence</x:v>
      </x:c>
    </x:row>
    <x:row r="28" ht="35" customHeight="1">
      <x:c r="A28" s="2" t="str">
        <x:v>P0096</x:v>
      </x:c>
      <x:c r="B28" s="2" t="str">
        <x:v>openclaw/openclaw</x:v>
      </x:c>
      <x:c r="C28" s="2" t="n">
        <x:v>85442</x:v>
      </x:c>
      <x:c r="D28" s="2" t="str">
        <x:v>C13</x:v>
      </x:c>
      <x:c r="E28" s="2" t="str">
        <x:v>F01</x:v>
      </x:c>
      <x:c r="F28" s="2" t="str">
        <x:v>F03</x:v>
      </x:c>
      <x:c r="G28" s="2" t="str">
        <x:v>F03</x:v>
      </x:c>
      <x:c r="H28" s="2" t="str">
        <x:v>Validation and failure-path hardening</x:v>
      </x:c>
      <x:c r="I28" s="2" t="str">
        <x:v>Recorded as implemented in the source data</x:v>
      </x:c>
      <x:c r="J28" s="2" t="str">
        <x:v>Allowing agents to block a report with the first line of failures</x:v>
      </x:c>
      <x:c r="K28" s="2" t="str">
        <x:v>Subsequent AUTOMATION_FAILED marking made the run truly judged to be error and alerted, falling under the failure classification; early structured refusal patches covered only partly.</x:v>
      </x:c>
      <x:c r="L28" s="2" t="str">
        <x:v>Integration task back-check freeze source material: subsequent AUTOMATION_FAILED marking makes the run truly judged as error and alerted, belonging to a failure classification; early structured refusal patches cover only part of.</x:v>
      </x:c>
      <x:c r="M28" s="2" t="str">
        <x:v>https://github.com/openclaw/openclaw/issues/85442</x:v>
      </x:c>
      <x:c r="N28" s="2" t="str">
        <x:v>F03</x:v>
      </x:c>
      <x:c r="O28" s="2" t="str">
        <x:v>Determinate from available evidence</x:v>
      </x:c>
    </x:row>
    <x:row r="29" ht="35" customHeight="1">
      <x:c r="A29" s="2" t="str">
        <x:v>P0120</x:v>
      </x:c>
      <x:c r="B29" s="2" t="str">
        <x:v>openclaw/openclaw</x:v>
      </x:c>
      <x:c r="C29" s="2" t="n">
        <x:v>139187</x:v>
      </x:c>
      <x:c r="D29" s="2" t="str">
        <x:v>C24</x:v>
      </x:c>
      <x:c r="E29" s="2" t="str">
        <x:v>F03</x:v>
      </x:c>
      <x:c r="F29" s="2" t="str">
        <x:v>F02</x:v>
      </x:c>
      <x:c r="G29" s="2" t="str">
        <x:v>F02</x:v>
      </x:c>
      <x:c r="H29" s="2" t="str">
        <x:v>Execution-flow and state correction</x:v>
      </x:c>
      <x:c r="I29" s="2" t="str">
        <x:v>Recorded as implemented in the source data</x:v>
      </x:c>
      <x:c r="J29" s="2" t="str">
        <x:v>Extract pure classification for read-only statistics by doctor</x:v>
      </x:c>
      <x:c r="K29" s="2" t="str">
        <x:v>Extract pure classification functions by avoiding write-to-read paths and reconstruct normal read-only checking processes rather than adding new anomalous rejections.</x:v>
      </x:c>
      <x:c r="L29" s="2" t="str">
        <x:v>Integrating task back-checking freeze source material: extracting pure classification functions by avoiding writeable reading paths, rebuilding normal read-only checking processes, rather than adding new anomalous rejections.</x:v>
      </x:c>
      <x:c r="M29" s="2" t="str">
        <x:v>https://github.com/openclaw/openclaw/issues/139187</x:v>
      </x:c>
      <x:c r="N29" s="2" t="str">
        <x:v>F02</x:v>
      </x:c>
      <x:c r="O29" s="2" t="str">
        <x:v>Determinate from available evidence</x:v>
      </x:c>
    </x:row>
    <x:row r="30" ht="35" customHeight="1">
      <x:c r="A30" s="2" t="str">
        <x:v>P0125</x:v>
      </x:c>
      <x:c r="B30" s="2" t="str">
        <x:v>openclaw/openclaw</x:v>
      </x:c>
      <x:c r="C30" s="2" t="n">
        <x:v>154353</x:v>
      </x:c>
      <x:c r="D30" s="2" t="str">
        <x:v>C18</x:v>
      </x:c>
      <x:c r="E30" s="2" t="str">
        <x:v>F02</x:v>
      </x:c>
      <x:c r="F30" s="2" t="str">
        <x:v>F04</x:v>
      </x:c>
      <x:c r="G30" s="2" t="str">
        <x:v>F04</x:v>
      </x:c>
      <x:c r="H30" s="2" t="str">
        <x:v>Environment and distribution adaptation</x:v>
      </x:c>
      <x:c r="I30" s="2" t="str">
        <x:v>Recorded as implemented in the source data</x:v>
      </x:c>
      <x:c r="J30" s="2" t="str">
        <x:v>Windows Subprocess Job authentication Clear and typify uncertain results</x:v>
      </x:c>
      <x:c r="K30" s="2" t="str">
        <x:v>To complete Windows Job &amp; Platform adaptor missing Extermination authentication It's the main production movement typed uncertain and scope Explains it to be compatible.</x:v>
      </x:c>
      <x:c r="L30" s="2" t="str">
        <x:v>Integrating task back-checking of freeze source materials: authentication's extinction capabilities in complementary Windows Job and platform adapter missing are the main production actions, with typed uncertain and scope interpreted as supporting.</x:v>
      </x:c>
      <x:c r="M30" s="2" t="str">
        <x:v>https://github.com/openclaw/openclaw/issues/154353</x:v>
      </x:c>
      <x:c r="N30" s="2" t="str">
        <x:v>F04</x:v>
      </x:c>
      <x:c r="O30" s="2" t="str">
        <x:v>Determinate from available evidence</x:v>
      </x:c>
    </x:row>
    <x:row r="31" ht="48.5" customHeight="1">
      <x:c r="A31" s="2" t="str">
        <x:v>P0275</x:v>
      </x:c>
      <x:c r="B31" s="2" t="str">
        <x:v>langgenius/dify</x:v>
      </x:c>
      <x:c r="C31" s="2" t="n">
        <x:v>14460</x:v>
      </x:c>
      <x:c r="D31" s="2" t="str">
        <x:v>C10</x:v>
      </x:c>
      <x:c r="E31" s="2" t="str">
        <x:v>U1</x:v>
      </x:c>
      <x:c r="F31" s="2" t="str">
        <x:v>U1</x:v>
      </x:c>
      <x:c r="G31" s="2" t="str">
        <x:v>F03</x:v>
      </x:c>
      <x:c r="H31" s="2" t="str">
        <x:v>Validation and failure-path hardening</x:v>
      </x:c>
      <x:c r="I31" s="2" t="str">
        <x:v>Insufficient association evidence</x:v>
      </x:c>
      <x:c r="J31" s="2" t="str">
        <x:v>Suggested action (presumption): Recommendation HTTP tool Failed to generate controlled error results and maintain follow-up flow output to continue.</x:v>
      </x:c>
      <x:c r="K31" s="2" t="str">
        <x:v>Short summary Answer patches are irrelevant, since the failure to disconnect the flow after HTTP abnormalities is closest to failing processing reinforcement.  This is an additional closest-fit assignment, not an established repair fact.</x:v>
      </x:c>
      <x:c r="L31" s="2" t="str">
        <x:v>One closest-fit strategy is selected as additionally requested.  Short summary Answer patches are irrelevant, since the failure to disconnect the flow after HTTP abnormalities is closest to failing processing reinforcement.  This is an additional closest-fit assignment, not an established repair fact.  The original evidence review is U1; this does not establish that a targeted repair has been verified.</x:v>
      </x:c>
      <x:c r="M31" s="2" t="str">
        <x:v>https://github.com/langgenius/dify/issues/14460</x:v>
      </x:c>
      <x:c r="N31" s="2" t="str">
        <x:v>U1</x:v>
      </x:c>
      <x:c r="O31" s="2" t="str">
        <x:v>Inferred from the primary root cause</x:v>
      </x:c>
    </x:row>
    <x:row r="32" ht="48.5" customHeight="1">
      <x:c r="A32" s="2" t="str">
        <x:v>P0298</x:v>
      </x:c>
      <x:c r="B32" s="2" t="str">
        <x:v>langgenius/dify</x:v>
      </x:c>
      <x:c r="C32" s="2" t="n">
        <x:v>21225</x:v>
      </x:c>
      <x:c r="D32" s="2" t="str">
        <x:v>C06</x:v>
      </x:c>
      <x:c r="E32" s="2" t="str">
        <x:v>U1</x:v>
      </x:c>
      <x:c r="F32" s="2" t="str">
        <x:v>U1</x:v>
      </x:c>
      <x:c r="G32" s="2" t="str">
        <x:v>F02</x:v>
      </x:c>
      <x:c r="H32" s="2" t="str">
        <x:v>Execution-flow and state correction</x:v>
      </x:c>
      <x:c r="I32" s="2" t="str">
        <x:v>Insufficient association evidence</x:v>
      </x:c>
      <x:c r="J32" s="2" t="str">
        <x:v>Recommended action: Recommended to complete the output of the current cyclic sub-brother node into the viewable state of the attribution node.</x:v>
      </x:c>
      <x:c r="K32" s="2" t="str">
        <x:v>The renaming and debugging of the abstract are not directly related; the problem is that the output of the twin-wheel nodes is not visible, and the variable state must be connected when running. This is an additional closest-fit assignment, not an established repair fact.</x:v>
      </x:c>
      <x:c r="L32" s="2" t="str">
        <x:v>One closest-fit strategy is selected as additionally requested.  The renaming and debugging of the abstract are not directly related; the problem is that the output of the twin-wheel nodes is not visible, and the variable state must be connected when running. This is an additional closest-fit assignment, not an established repair fact.  The original evidence review is U1; this does not establish that a targeted repair has been verified.</x:v>
      </x:c>
      <x:c r="M32" s="2" t="str">
        <x:v>https://github.com/langgenius/dify/issues/21225</x:v>
      </x:c>
      <x:c r="N32" s="2" t="str">
        <x:v>U1</x:v>
      </x:c>
      <x:c r="O32" s="2" t="str">
        <x:v>Inferred from the primary root cause</x:v>
      </x:c>
    </x:row>
    <x:row r="33" ht="48.5" customHeight="1">
      <x:c r="A33" s="2" t="str">
        <x:v>P0303</x:v>
      </x:c>
      <x:c r="B33" s="2" t="str">
        <x:v>langgenius/dify</x:v>
      </x:c>
      <x:c r="C33" s="2" t="n">
        <x:v>23463</x:v>
      </x:c>
      <x:c r="D33" s="2" t="str">
        <x:v>C02</x:v>
      </x:c>
      <x:c r="E33" s="2" t="str">
        <x:v>U1</x:v>
      </x:c>
      <x:c r="F33" s="2" t="str">
        <x:v>U1</x:v>
      </x:c>
      <x:c r="G33" s="2" t="str">
        <x:v>F01</x:v>
      </x:c>
      <x:c r="H33" s="2" t="str">
        <x:v>Representation and usage-contract alignment</x:v>
      </x:c>
      <x:c r="I33" s="2" t="str">
        <x:v>Implementation status pending verification</x:v>
      </x:c>
      <x:c r="J33" s="2" t="str">
        <x:v>Recommended action: Recommended installation of required symbols and default values in step execution.</x:v>
      </x:c>
      <x:c r="K33" s="2" t="str">
        <x:v>Summary Only numbered and corrected claims, by option parameters are corrected using the root cause recommendation parameter as required.  This is an additional closest-fit assignment, not an established repair fact.</x:v>
      </x:c>
      <x:c r="L33" s="2" t="str">
        <x:v>One closest-fit strategy is selected as additionally requested.  Summary Only numbered and corrected claims, by option parameters are corrected using the root cause recommendation parameter as required.  This is an additional closest-fit assignment, not an established repair fact.  The original evidence review is U1; this does not establish that a targeted repair has been verified.</x:v>
      </x:c>
      <x:c r="M33" s="2" t="str">
        <x:v>https://github.com/langgenius/dify/issues/23463</x:v>
      </x:c>
      <x:c r="N33" s="2" t="str">
        <x:v>U1</x:v>
      </x:c>
      <x:c r="O33" s="2" t="str">
        <x:v>Inferred from the primary root cause</x:v>
      </x:c>
    </x:row>
    <x:row r="34" ht="35" customHeight="1">
      <x:c r="A34" s="2" t="str">
        <x:v>P0328</x:v>
      </x:c>
      <x:c r="B34" s="2" t="str">
        <x:v>langgenius/dify</x:v>
      </x:c>
      <x:c r="C34" s="2" t="n">
        <x:v>35694</x:v>
      </x:c>
      <x:c r="D34" s="2" t="str">
        <x:v>C02</x:v>
      </x:c>
      <x:c r="E34" s="2" t="str">
        <x:v>F04</x:v>
      </x:c>
      <x:c r="F34" s="2" t="str">
        <x:v>F01</x:v>
      </x:c>
      <x:c r="G34" s="2" t="str">
        <x:v>F01</x:v>
      </x:c>
      <x:c r="H34" s="2" t="str">
        <x:v>Representation and usage-contract alignment</x:v>
      </x:c>
      <x:c r="I34" s="2" t="str">
        <x:v>Recorded as implemented in the source data</x:v>
      </x:c>
      <x:c r="J34" s="2" t="str">
        <x:v>Upgrade graphon and migrate node running time</x:v>
      </x:c>
      <x:c r="K34" s="2" t="str">
        <x:v>Material explicitly migrates models when running and constructs with nodes to fit new tests, not just dependent versions; attributable interface structure adapts but not fictional local diff.</x:v>
      </x:c>
      <x:c r="L34" s="2" t="str">
        <x:v>Integrating task back-checking freeze source material: the material explicitly migrates the model when running and is constructed with nodes to fit new calibration tests, not just dependent versions; attributable interface structure adapts but not fictional local diff.</x:v>
      </x:c>
      <x:c r="M34" s="2" t="str">
        <x:v>https://github.com/langgenius/dify/issues/35694</x:v>
      </x:c>
      <x:c r="N34" s="2" t="str">
        <x:v>F01</x:v>
      </x:c>
      <x:c r="O34" s="2" t="str">
        <x:v>Determinate from available evidence</x:v>
      </x:c>
    </x:row>
    <x:row r="35" ht="35" customHeight="1">
      <x:c r="A35" s="2" t="str">
        <x:v>P0374</x:v>
      </x:c>
      <x:c r="B35" s="2" t="str">
        <x:v>open-webui/open-webui</x:v>
      </x:c>
      <x:c r="C35" s="2" t="n">
        <x:v>26141</x:v>
      </x:c>
      <x:c r="D35" s="2" t="str">
        <x:v>C15</x:v>
      </x:c>
      <x:c r="E35" s="2" t="str">
        <x:v>F02</x:v>
      </x:c>
      <x:c r="F35" s="2" t="str">
        <x:v>F03</x:v>
      </x:c>
      <x:c r="G35" s="2" t="str">
        <x:v>F02</x:v>
      </x:c>
      <x:c r="H35" s="2" t="str">
        <x:v>Execution-flow and state correction</x:v>
      </x:c>
      <x:c r="I35" s="2" t="str">
        <x:v>Implementation status pending verification</x:v>
      </x:c>
      <x:c r="J35" s="2" t="str">
        <x:v>Returns OAuth expired default value to refreshable capacity</x:v>
      </x:c>
      <x:c r="K35" s="2" t="str">
        <x:v>Changes to normal token expiration strategies based on refresh_token's set validity period and renewal lifecycle.</x:v>
      </x:c>
      <x:c r="L35" s="2" t="str">
        <x:v>Reconciling tasks to check source information: basis refresh_token Set the life cycle and refresh it to change normal token Expiry Policy.</x:v>
      </x:c>
      <x:c r="M35" s="2" t="str">
        <x:v>https://github.com/open-webui/open-webui/issues/26141</x:v>
      </x:c>
      <x:c r="N35" s="2" t="str">
        <x:v>F02</x:v>
      </x:c>
      <x:c r="O35" s="2" t="str">
        <x:v>Determinate from available evidence</x:v>
      </x:c>
    </x:row>
    <x:row r="36" ht="48.5" customHeight="1">
      <x:c r="A36" s="2" t="str">
        <x:v>P0389</x:v>
      </x:c>
      <x:c r="B36" s="2" t="str">
        <x:v>open-webui/open-webui</x:v>
      </x:c>
      <x:c r="C36" s="2" t="n">
        <x:v>31610</x:v>
      </x:c>
      <x:c r="D36" s="2" t="str">
        <x:v>C22</x:v>
      </x:c>
      <x:c r="E36" s="2" t="str">
        <x:v>U1</x:v>
      </x:c>
      <x:c r="F36" s="2" t="str">
        <x:v>U1</x:v>
      </x:c>
      <x:c r="G36" s="2" t="str">
        <x:v>F02</x:v>
      </x:c>
      <x:c r="H36" s="2" t="str">
        <x:v>Execution-flow and state correction</x:v>
      </x:c>
      <x:c r="I36" s="2" t="str">
        <x:v>Workaround only or existing behavior</x:v>
      </x:c>
      <x:c r="J36" s="2" t="str">
        <x:v>Recommended action: It is recommended that the model searched must be guaranteed to use a pre-executed search process, or explicitly ensure that the model remains autonomous. </x:v>
      </x:c>
      <x:c r="K36" s="2" t="str">
        <x:v>The Legacy actually recommends that searches be performed first, closest to tool execution scheduling; unrelated KeyError patches are not included.  This is an additional closest-fit assignment, not an established repair fact.</x:v>
      </x:c>
      <x:c r="L36" s="2" t="str">
        <x:v>One closest-fit strategy is selected as additionally requested.  The Legacy actually recommends that searches be performed first, closest to tool execution scheduling; unrelated KeyError patches are not included.  This is an additional closest-fit assignment, not an established repair fact.  The original evidence review is U1; this does not establish that a targeted repair has been verified.</x:v>
      </x:c>
      <x:c r="M36" s="2" t="str">
        <x:v>https://github.com/open-webui/open-webui/issues/31610</x:v>
      </x:c>
      <x:c r="N36" s="2" t="str">
        <x:v>U1</x:v>
      </x:c>
      <x:c r="O36" s="2" t="str">
        <x:v>Closest fit to the intent described in the summary</x:v>
      </x:c>
    </x:row>
    <x:row r="37" ht="35" customHeight="1">
      <x:c r="A37" s="2" t="str">
        <x:v>P0390</x:v>
      </x:c>
      <x:c r="B37" s="2" t="str">
        <x:v>open-webui/open-webui</x:v>
      </x:c>
      <x:c r="C37" s="2" t="n">
        <x:v>31880</x:v>
      </x:c>
      <x:c r="D37" s="2" t="str">
        <x:v>C15</x:v>
      </x:c>
      <x:c r="E37" s="2" t="str">
        <x:v>F02</x:v>
      </x:c>
      <x:c r="F37" s="2" t="str">
        <x:v>F03</x:v>
      </x:c>
      <x:c r="G37" s="2" t="str">
        <x:v>F03</x:v>
      </x:c>
      <x:c r="H37" s="2" t="str">
        <x:v>Validation and failure-path hardening</x:v>
      </x:c>
      <x:c r="I37" s="2" t="str">
        <x:v>Recorded as implemented in the source data</x:v>
      </x:c>
      <x:c r="J37" s="2" t="str">
        <x:v>Connecting MCP before filtering off servers</x:v>
      </x:c>
      <x:c r="K37" s="2" t="str">
        <x:v>Request respect for enable access restrictions before connecting, directly preventing the user's closed server from being checked by invocation and returned to border.</x:v>
      </x:c>
      <x:c r="L37" s="2" t="str">
        <x:v>Integrating task back-checking frozen source material: Respect enable access blocks before requesting connection, directly preventing the user's closed server from being checked by invocation and returned to the border.</x:v>
      </x:c>
      <x:c r="M37" s="2" t="str">
        <x:v>https://github.com/open-webui/open-webui/issues/31880</x:v>
      </x:c>
      <x:c r="N37" s="2" t="str">
        <x:v>F03</x:v>
      </x:c>
      <x:c r="O37" s="2" t="str">
        <x:v>Determinate from available evidence</x:v>
      </x:c>
    </x:row>
    <x:row r="38" ht="48.5" customHeight="1">
      <x:c r="A38" s="2" t="str">
        <x:v>P0398</x:v>
      </x:c>
      <x:c r="B38" s="2" t="str">
        <x:v>earendil-works/pi</x:v>
      </x:c>
      <x:c r="C38" s="2" t="n">
        <x:v>1233</x:v>
      </x:c>
      <x:c r="D38" s="2" t="str">
        <x:v>C19</x:v>
      </x:c>
      <x:c r="E38" s="2" t="str">
        <x:v>U1</x:v>
      </x:c>
      <x:c r="F38" s="2" t="str">
        <x:v>U1</x:v>
      </x:c>
      <x:c r="G38" s="2" t="str">
        <x:v>F01</x:v>
      </x:c>
      <x:c r="H38" s="2" t="str">
        <x:v>Representation and usage-contract alignment</x:v>
      </x:c>
      <x:c r="I38" s="2" t="str">
        <x:v>Insufficient association evidence</x:v>
      </x:c>
      <x:c r="J38" s="2" t="str">
        <x:v>Recommended Action: Recommended to extend, pack and reset synchronously with current execute signatures.</x:v>
      </x:c>
      <x:c r="K38" s="2" t="str">
        <x:v>Summary uniform execute Signature closest API invocation Contract; it is a causal change from the old extension to the subsequent restoration.  This is an additional closest-fit assignment, not an established repair fact.</x:v>
      </x:c>
      <x:c r="L38" s="2" t="str">
        <x:v>One closest-fit strategy is selected as additionally requested.  Summary uniform execute Signature closest API invocation Contract; it is a causal change from the old extension to the subsequent restoration.  This is an additional closest-fit assignment, not an established repair fact.  The original evidence review is U1; this does not establish that a targeted repair has been verified.</x:v>
      </x:c>
      <x:c r="M38" s="2" t="str">
        <x:v>https://github.com/earendil-works/pi/issues/1233</x:v>
      </x:c>
      <x:c r="N38" s="2" t="str">
        <x:v>U1</x:v>
      </x:c>
      <x:c r="O38" s="2" t="str">
        <x:v>Closest fit to the intent described in the summary</x:v>
      </x:c>
    </x:row>
    <x:row r="39" ht="48.5" customHeight="1">
      <x:c r="A39" s="2" t="str">
        <x:v>P0415</x:v>
      </x:c>
      <x:c r="B39" s="2" t="str">
        <x:v>earendil-works/pi</x:v>
      </x:c>
      <x:c r="C39" s="2" t="n">
        <x:v>2992</x:v>
      </x:c>
      <x:c r="D39" s="2" t="str">
        <x:v>C07</x:v>
      </x:c>
      <x:c r="E39" s="2" t="str">
        <x:v>U1</x:v>
      </x:c>
      <x:c r="F39" s="2" t="str">
        <x:v>U1</x:v>
      </x:c>
      <x:c r="G39" s="2" t="str">
        <x:v>F02</x:v>
      </x:c>
      <x:c r="H39" s="2" t="str">
        <x:v>Execution-flow and state correction</x:v>
      </x:c>
      <x:c r="I39" s="2" t="str">
        <x:v>Insufficient association evidence</x:v>
      </x:c>
      <x:c r="J39" s="2" t="str">
        <x:v>Recommended action: Recommended to provide a meeting workbook update the entry and refresh the tool, footer and complete snapshot.</x:v>
      </x:c>
      <x:c r="K39" s="2" t="str">
        <x:v>Abstract No targeted corrections and explicitly unsupported; cwd fast-frozen presumption of need for synchronized sessions with tool operating status.  This is an additional closest-fit assignment, not an established repair fact.</x:v>
      </x:c>
      <x:c r="L39" s="2" t="str">
        <x:v>One closest-fit strategy is selected as additionally requested.  Abstract No targeted corrections and explicitly unsupported; cwd fast-frozen presumption of need for synchronized sessions with tool operating status.  This is an additional closest-fit assignment, not an established repair fact.  The original evidence review is U1; this does not establish that a targeted repair has been verified.</x:v>
      </x:c>
      <x:c r="M39" s="2" t="str">
        <x:v>https://github.com/earendil-works/pi/issues/2992</x:v>
      </x:c>
      <x:c r="N39" s="2" t="str">
        <x:v>U1</x:v>
      </x:c>
      <x:c r="O39" s="2" t="str">
        <x:v>Inferred from the primary root cause</x:v>
      </x:c>
    </x:row>
    <x:row r="40" ht="48.5" customHeight="1">
      <x:c r="A40" s="2" t="str">
        <x:v>P0425</x:v>
      </x:c>
      <x:c r="B40" s="2" t="str">
        <x:v>earendil-works/pi</x:v>
      </x:c>
      <x:c r="C40" s="2" t="n">
        <x:v>4469</x:v>
      </x:c>
      <x:c r="D40" s="2" t="str">
        <x:v>C06</x:v>
      </x:c>
      <x:c r="E40" s="2" t="str">
        <x:v>U1</x:v>
      </x:c>
      <x:c r="F40" s="2" t="str">
        <x:v>U1</x:v>
      </x:c>
      <x:c r="G40" s="2" t="str">
        <x:v>F01</x:v>
      </x:c>
      <x:c r="H40" s="2" t="str">
        <x:v>Representation and usage-contract alignment</x:v>
      </x:c>
      <x:c r="I40" s="2" t="str">
        <x:v>Workaround only or existing behavior</x:v>
      </x:c>
      <x:c r="J40" s="2" t="str">
        <x:v>Recommended Action: Recommended to extend exposure to subagent status by clearly labeling it so as to circumvent the overall side effects. </x:v>
      </x:c>
      <x:c r="K40" s="2" t="str">
        <x:v>The abstract recommends registering the CLI logo and passing it to the invocation, the closest paternity field contract; no runMode interface has been added. This is an additional closest-fit assignment, not an established repair fact.</x:v>
      </x:c>
      <x:c r="L40" s="2" t="str">
        <x:v>One closest-fit strategy is selected as additionally requested.  The abstract recommends registering the CLI logo and passing it to the invocation, the closest paternity field contract; no runMode interface has been added. This is an additional closest-fit assignment, not an established repair fact.  The original evidence review is U1; this does not establish that a targeted repair has been verified.</x:v>
      </x:c>
      <x:c r="M40" s="2" t="str">
        <x:v>https://github.com/earendil-works/pi/issues/4469</x:v>
      </x:c>
      <x:c r="N40" s="2" t="str">
        <x:v>U1</x:v>
      </x:c>
      <x:c r="O40" s="2" t="str">
        <x:v>Closest fit to the intent described in the summary</x:v>
      </x:c>
    </x:row>
    <x:row r="41" ht="35" customHeight="1">
      <x:c r="A41" s="2" t="str">
        <x:v>R0241</x:v>
      </x:c>
      <x:c r="B41" s="2" t="str">
        <x:v>NousResearch/hermes-agent</x:v>
      </x:c>
      <x:c r="C41" s="2" t="n">
        <x:v>75228</x:v>
      </x:c>
      <x:c r="D41" s="2" t="str">
        <x:v>C21</x:v>
      </x:c>
      <x:c r="E41" s="2" t="str">
        <x:v>F02</x:v>
      </x:c>
      <x:c r="F41" s="2" t="str">
        <x:v>F04</x:v>
      </x:c>
      <x:c r="G41" s="2" t="str">
        <x:v>F02</x:v>
      </x:c>
      <x:c r="H41" s="2" t="str">
        <x:v>Execution-flow and state correction</x:v>
      </x:c>
      <x:c r="I41" s="2" t="str">
        <x:v>Recorded as implemented in the source data</x:v>
      </x:c>
      <x:c r="J41" s="2" t="str">
        <x:v>Remnants and records of non-recovered items before recovery</x:v>
      </x:c>
      <x:c r="K41" s="2" t="str">
        <x:v>Curator operational snapshot recovery rebuilds existing Skill trees, uninstalled or dispatched cargo transactions; clears residual, restores and retains failure items as rollback status.</x:v>
      </x:c>
      <x:c r="L41" s="2" t="str">
        <x:v>Calculated integrated retest: Curator runtime snapshot restore reconstructed existing Skill trees, uninstalled or dispatched cargo transactions; clear residual, recovery and retained failure items as rollback status.</x:v>
      </x:c>
      <x:c r="M41" s="2" t="str">
        <x:v>https://github.com/NousResearch/hermes-agent/issues/75228</x:v>
      </x:c>
      <x:c r="N41" s="2" t="str">
        <x:v>F02</x:v>
      </x:c>
      <x:c r="O41" s="2" t="str">
        <x:v>Determinate from available evidence</x:v>
      </x:c>
    </x:row>
    <x:row r="42" ht="48.5" customHeight="1">
      <x:c r="A42" s="2" t="str">
        <x:v>R0230</x:v>
      </x:c>
      <x:c r="B42" s="2" t="str">
        <x:v>NousResearch/hermes-agent</x:v>
      </x:c>
      <x:c r="C42" s="2" t="n">
        <x:v>60381</x:v>
      </x:c>
      <x:c r="D42" s="2" t="str">
        <x:v>C04</x:v>
      </x:c>
      <x:c r="E42" s="2" t="str">
        <x:v>U1</x:v>
      </x:c>
      <x:c r="F42" s="2" t="str">
        <x:v>U1</x:v>
      </x:c>
      <x:c r="G42" s="2" t="str">
        <x:v>F02</x:v>
      </x:c>
      <x:c r="H42" s="2" t="str">
        <x:v>Execution-flow and state correction</x:v>
      </x:c>
      <x:c r="I42" s="2" t="str">
        <x:v>Workaround only or existing behavior</x:v>
      </x:c>
      <x:c r="J42" s="2" t="str">
        <x:v>Recommended action: It is recommended to verify the visual model by selecting the chain and prioritizing the explicit model, then verifying the actual endpoint. </x:v>
      </x:c>
      <x:c r="K42" s="2" t="str">
        <x:v>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x:v>
      </x:c>
      <x:c r="L42" s="2" t="str">
        <x:v>One closest-fit strategy is selected as additionally requested.  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  The original evidence review is U1; this does not establish that a targeted repair has been verified.</x:v>
      </x:c>
      <x:c r="M42" s="2" t="str">
        <x:v>https://github.com/NousResearch/hermes-agent/issues/60381</x:v>
      </x:c>
      <x:c r="N42" s="2" t="str">
        <x:v>U1</x:v>
      </x:c>
      <x:c r="O42" s="2" t="str">
        <x:v>Closest fit to the intent described in the summary</x:v>
      </x:c>
    </x:row>
    <x:row r="43" ht="48.5" customHeight="1">
      <x:c r="A43" s="2" t="str">
        <x:v>R0228</x:v>
      </x:c>
      <x:c r="B43" s="2" t="str">
        <x:v>NousResearch/hermes-agent</x:v>
      </x:c>
      <x:c r="C43" s="2" t="n">
        <x:v>60119</x:v>
      </x:c>
      <x:c r="D43" s="2" t="str">
        <x:v>C09</x:v>
      </x:c>
      <x:c r="E43" s="2" t="str">
        <x:v>F02</x:v>
      </x:c>
      <x:c r="F43" s="2" t="str">
        <x:v>F02</x:v>
      </x:c>
      <x:c r="G43" s="2" t="str">
        <x:v>F02</x:v>
      </x:c>
      <x:c r="H43" s="2" t="str">
        <x:v>Execution-flow and state correction</x:v>
      </x:c>
      <x:c r="I43" s="2" t="str">
        <x:v>Workaround only or existing behavior</x:v>
      </x:c>
      <x:c r="J43" s="2" t="str">
        <x:v>Recommended action: Recommended to maintain lifecycle tool when Kanban worker constructs the final tool set.</x:v>
      </x:c>
      <x:c r="K43" s="2" t="str">
        <x:v>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x:v>
      </x:c>
      <x:c r="L43" s="2" t="str">
        <x:v>One closest-fit strategy is selected as additionally requested.  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  The original evidence review is U1; this does not establish that a targeted repair has been verified.</x:v>
      </x:c>
      <x:c r="M43" s="2" t="str">
        <x:v>https://github.com/NousResearch/hermes-agent/issues/60119</x:v>
      </x:c>
      <x:c r="N43" s="2" t="str">
        <x:v>U1</x:v>
      </x:c>
      <x:c r="O43" s="2" t="str">
        <x:v>Closest fit to the intent described in the summary</x:v>
      </x:c>
    </x:row>
    <x:row r="44" ht="48.5" customHeight="1">
      <x:c r="A44" s="2" t="str">
        <x:v>R0219</x:v>
      </x:c>
      <x:c r="B44" s="2" t="str">
        <x:v>NousResearch/hermes-agent</x:v>
      </x:c>
      <x:c r="C44" s="2" t="n">
        <x:v>53359</x:v>
      </x:c>
      <x:c r="D44" s="2" t="str">
        <x:v>C20</x:v>
      </x:c>
      <x:c r="E44" s="2" t="str">
        <x:v>U1</x:v>
      </x:c>
      <x:c r="F44" s="2" t="str">
        <x:v>U1</x:v>
      </x:c>
      <x:c r="G44" s="2" t="str">
        <x:v>F01</x:v>
      </x:c>
      <x:c r="H44" s="2" t="str">
        <x:v>Representation and usage-contract alignment</x:v>
      </x:c>
      <x:c r="I44" s="2" t="str">
        <x:v>Workaround only or existing behavior</x:v>
      </x:c>
      <x:c r="J44" s="2" t="str">
        <x:v>Suggested action (presumption): Recommendation to clarify and calibrate the service end num_ctx and Hermes context Reciprocal Settings for Length.</x:v>
      </x:c>
      <x:c r="K44" s="2" t="str">
        <x:v>The abstract explicitly gives three context configuration matching guidelines, the closest to configuration using conventionally aligned; not exclusive capacity automatic detection repair. This is an additional closest-fit assignment, not an established repair fact.</x:v>
      </x:c>
      <x:c r="L44" s="2" t="str">
        <x:v>One closest-fit strategy is selected as additionally requested.  The abstract explicitly gives three context configuration matching guidelines, the closest to configuration using conventionally aligned; not exclusive capacity automatic detection repair. This is an additional closest-fit assignment, not an established repair fact.  The original evidence review is U1; this does not establish that a targeted repair has been verified.</x:v>
      </x:c>
      <x:c r="M44" s="2" t="str">
        <x:v>https://github.com/NousResearch/hermes-agent/issues/53359</x:v>
      </x:c>
      <x:c r="N44" s="2" t="str">
        <x:v>U1</x:v>
      </x:c>
      <x:c r="O44" s="2" t="str">
        <x:v>Closest fit to the intent described in the summary</x:v>
      </x:c>
    </x:row>
    <x:row r="45" ht="48.5" customHeight="1">
      <x:c r="A45" s="2" t="str">
        <x:v>R0210</x:v>
      </x:c>
      <x:c r="B45" s="2" t="str">
        <x:v>NousResearch/hermes-agent</x:v>
      </x:c>
      <x:c r="C45" s="2" t="n">
        <x:v>44394</x:v>
      </x:c>
      <x:c r="D45" s="2" t="str">
        <x:v>C08</x:v>
      </x:c>
      <x:c r="E45" s="2" t="str">
        <x:v>U1</x:v>
      </x:c>
      <x:c r="F45" s="2" t="str">
        <x:v>U1</x:v>
      </x:c>
      <x:c r="G45" s="2" t="str">
        <x:v>F03</x:v>
      </x:c>
      <x:c r="H45" s="2" t="str">
        <x:v>Validation and failure-path hardening</x:v>
      </x:c>
      <x:c r="I45" s="2" t="str">
        <x:v>Workaround only or existing behavior</x:v>
      </x:c>
      <x:c r="J45" s="2" t="str">
        <x:v>Recommended action: Recommended pre-release calibration to repair tool invocation matching results, positioning still missing branches.</x:v>
      </x:c>
      <x:c r="K45" s="2" t="str">
        <x:v>A shared summary has been clearly requested for cleansing and tool guardrails The closest to bad history to pre-provider protection; the real damage branch is still unknown.  This is an additional closest-fit assignment, not an established repair fact.</x:v>
      </x:c>
      <x:c r="L45" s="2" t="str">
        <x:v>One closest-fit strategy is selected as additionally requested.  A shared summary has been clearly requested for cleansing and tool guardrails The closest to bad history to pre-provider protection; the real damage branch is still unknown.  This is an additional closest-fit assignment, not an established repair fact.  The original evidence review is U1; this does not establish that a targeted repair has been verified.</x:v>
      </x:c>
      <x:c r="M45" s="2" t="str">
        <x:v>https://github.com/NousResearch/hermes-agent/issues/44394</x:v>
      </x:c>
      <x:c r="N45" s="2" t="str">
        <x:v>U1</x:v>
      </x:c>
      <x:c r="O45" s="2" t="str">
        <x:v>Closest fit to the intent described in the summary</x:v>
      </x:c>
    </x:row>
    <x:row r="46" ht="48.5" customHeight="1">
      <x:c r="A46" s="2" t="str">
        <x:v>R0198</x:v>
      </x:c>
      <x:c r="B46" s="2" t="str">
        <x:v>NousResearch/hermes-agent</x:v>
      </x:c>
      <x:c r="C46" s="2" t="n">
        <x:v>34689</x:v>
      </x:c>
      <x:c r="D46" s="2" t="str">
        <x:v>C17</x:v>
      </x:c>
      <x:c r="E46" s="2" t="str">
        <x:v>U1</x:v>
      </x:c>
      <x:c r="F46" s="2" t="str">
        <x:v>U1</x:v>
      </x:c>
      <x:c r="G46" s="2" t="str">
        <x:v>F04</x:v>
      </x:c>
      <x:c r="H46" s="2" t="str">
        <x:v>Environment and distribution adaptation</x:v>
      </x:c>
      <x:c r="I46" s="2" t="str">
        <x:v>Insufficient association evidence</x:v>
      </x:c>
      <x:c r="J46" s="2" t="str">
        <x:v>Recommended action: verify the actual path of running checkout, database and board, and eliminate old deployment or residual state interference</x:v>
      </x:c>
      <x:c r="K46" s="2" t="str">
        <x:v>Maintainer denied WAL Visibility root cause The best evidence at the moment is old checkout or error database/ board Paths, so deployment operational prerequisites are more consistent with fixed C17.  Closest-fit inference only.</x:v>
      </x:c>
      <x:c r="L46" s="2" t="str">
        <x:v>One closest-fit strategy is selected as additionally requested.  Maintainer denied WAL Visibility root cause The best evidence at the moment is old checkout or error database/ board Paths, so deployment operational prerequisites are more consistent with fixed C17.  Closest-fit inference only.  The original evidence review is U1; this does not establish that a targeted repair has been verified.</x:v>
      </x:c>
      <x:c r="M46" s="2" t="str">
        <x:v>https://github.com/NousResearch/hermes-agent/issues/34689</x:v>
      </x:c>
      <x:c r="N46" s="2" t="str">
        <x:v>U1</x:v>
      </x:c>
      <x:c r="O46" s="2" t="str">
        <x:v>Inferred from the primary root cause</x:v>
      </x:c>
    </x:row>
    <x:row r="47" ht="48.5" customHeight="1">
      <x:c r="A47" s="2" t="str">
        <x:v>R0099</x:v>
      </x:c>
      <x:c r="B47" s="2" t="str">
        <x:v>openclaw/openclaw</x:v>
      </x:c>
      <x:c r="C47" s="2" t="n">
        <x:v>90638</x:v>
      </x:c>
      <x:c r="D47" s="2" t="str">
        <x:v>C15</x:v>
      </x:c>
      <x:c r="E47" s="2" t="str">
        <x:v>U1</x:v>
      </x:c>
      <x:c r="F47" s="2" t="str">
        <x:v>U1</x:v>
      </x:c>
      <x:c r="G47" s="2" t="str">
        <x:v>F03</x:v>
      </x:c>
      <x:c r="H47" s="2" t="str">
        <x:v>Validation and failure-path hardening</x:v>
      </x:c>
      <x:c r="I47" s="2" t="str">
        <x:v>Insufficient association evidence</x:v>
      </x:c>
      <x:c r="J47" s="2" t="str">
        <x:v>Recommended Action: Recommended to unify Slack private chat commands authorization and generate explicit failed feedback when rejected.</x:v>
      </x:c>
      <x:c r="K47" s="2" t="str">
        <x:v>There is no candidate specific action, with the authorization access chain unconnected and silent denial, the most direct need for a unified authorization access ban and denial ending. This is an additional closest-fit assignment, not an established repair fact.</x:v>
      </x:c>
      <x:c r="L47" s="2" t="str">
        <x:v>One closest-fit strategy is selected as additionally requested.  There is no candidate specific action, with the authorization access chain unconnected and silent denial, the most direct need for a unified authorization access ban and denial ending. This is an additional closest-fit assignment, not an established repair fact.  The original evidence review is U1; this does not establish that a targeted repair has been verified.</x:v>
      </x:c>
      <x:c r="M47" s="2" t="str">
        <x:v>https://github.com/openclaw/openclaw/issues/90638</x:v>
      </x:c>
      <x:c r="N47" s="2" t="str">
        <x:v>U1</x:v>
      </x:c>
      <x:c r="O47" s="2" t="str">
        <x:v>Inferred from the primary root cause</x:v>
      </x:c>
    </x:row>
    <x:row r="48" ht="35" customHeight="1">
      <x:c r="A48" s="2" t="str">
        <x:v>R0159</x:v>
      </x:c>
      <x:c r="B48" s="2" t="str">
        <x:v>NousResearch/hermes-agent</x:v>
      </x:c>
      <x:c r="C48" s="2" t="n">
        <x:v>13027</x:v>
      </x:c>
      <x:c r="D48" s="2" t="str">
        <x:v>C16</x:v>
      </x:c>
      <x:c r="E48" s="2" t="str">
        <x:v>F03</x:v>
      </x:c>
      <x:c r="F48" s="2" t="str">
        <x:v>F02</x:v>
      </x:c>
      <x:c r="G48" s="2" t="str">
        <x:v>F03</x:v>
      </x:c>
      <x:c r="H48" s="2" t="str">
        <x:v>Validation and failure-path hardening</x:v>
      </x:c>
      <x:c r="I48" s="2" t="str">
        <x:v>Recorded as implemented in the source data</x:v>
      </x:c>
      <x:c r="J48" s="2" t="str">
        <x:v>Disable the decision reading session platform context</x:v>
      </x:c>
      <x:c r="K48" s="2" t="str">
        <x:v>Additional session platform sources directly enforce the blockade; button freeze rules prioritize the blockade test rather than the general detection scope.</x:v>
      </x:c>
      <x:c r="L48" s="2" t="str">
        <x:v>After computing, integrated retest: the source of the session platform directly enables the blockage to take effect; button freezing rules prioritize the blockage test rather than the general detection scope.</x:v>
      </x:c>
      <x:c r="M48" s="2" t="str">
        <x:v>https://github.com/NousResearch/hermes-agent/issues/13027</x:v>
      </x:c>
      <x:c r="N48" s="2" t="str">
        <x:v>F03</x:v>
      </x:c>
      <x:c r="O48" s="2" t="str">
        <x:v>Determinate from available evidence</x:v>
      </x:c>
    </x:row>
    <x:row r="49" ht="48.5" customHeight="1">
      <x:c r="A49" s="2" t="str">
        <x:v>R0222</x:v>
      </x:c>
      <x:c r="B49" s="2" t="str">
        <x:v>NousResearch/hermes-agent</x:v>
      </x:c>
      <x:c r="C49" s="2" t="n">
        <x:v>57315</x:v>
      </x:c>
      <x:c r="D49" s="2" t="str">
        <x:v>C09</x:v>
      </x:c>
      <x:c r="E49" s="2" t="str">
        <x:v>U1</x:v>
      </x:c>
      <x:c r="F49" s="2" t="str">
        <x:v>U1</x:v>
      </x:c>
      <x:c r="G49" s="2" t="str">
        <x:v>F02</x:v>
      </x:c>
      <x:c r="H49" s="2" t="str">
        <x:v>Execution-flow and state correction</x:v>
      </x:c>
      <x:c r="I49" s="2" t="str">
        <x:v>Recorded as implemented in the source data</x:v>
      </x:c>
      <x:c r="J49" s="2" t="str">
        <x:v>Recommended Action: Recommended tool set to deduct the ownership-reference distinction and retain shared core tool.</x:v>
      </x:c>
      <x:c r="K49" s="2" t="str">
        <x:v>The goal of repair is clearly no longer to deduct the shared core tool, closest to the final tool set selection; specific modification definitions or decomposition algorithms have not yet been given. This is an additional closest-fit assignment, not an established repair fact.</x:v>
      </x:c>
      <x:c r="L49" s="2" t="str">
        <x:v>One closest-fit strategy is selected as additionally requested.  The goal of repair is clearly no longer to deduct the shared core tool, closest to the final tool set selection; specific modification definitions or decomposition algorithms have not yet been given. This is an additional closest-fit assignment, not an established repair fact.  The original evidence review is U1; this does not establish that a targeted repair has been verified.</x:v>
      </x:c>
      <x:c r="M49" s="2" t="str">
        <x:v>https://github.com/NousResearch/hermes-agent/issues/57315</x:v>
      </x:c>
      <x:c r="N49" s="2" t="str">
        <x:v>U1</x:v>
      </x:c>
      <x:c r="O49" s="2" t="str">
        <x:v>Closest fit to the intent described in the summary</x:v>
      </x:c>
    </x:row>
    <x:row r="50" ht="48.5" customHeight="1">
      <x:c r="A50" s="2" t="str">
        <x:v>R0036</x:v>
      </x:c>
      <x:c r="B50" s="2" t="str">
        <x:v>openclaw/openclaw</x:v>
      </x:c>
      <x:c r="C50" s="2" t="n">
        <x:v>43383</x:v>
      </x:c>
      <x:c r="D50" s="2" t="str">
        <x:v>C18</x:v>
      </x:c>
      <x:c r="E50" s="2" t="str">
        <x:v>U1</x:v>
      </x:c>
      <x:c r="F50" s="2" t="str">
        <x:v>U1</x:v>
      </x:c>
      <x:c r="G50" s="2" t="str">
        <x:v>F02</x:v>
      </x:c>
      <x:c r="H50" s="2" t="str">
        <x:v>Execution-flow and state correction</x:v>
      </x:c>
      <x:c r="I50" s="2" t="str">
        <x:v>Insufficient association evidence</x:v>
      </x:c>
      <x:c r="J50" s="2" t="str">
        <x:v>Recommended Action: Recommended to rebuild or re-mapp Skill snapshots and update the injecting position when entering the sandbox</x:v>
      </x:c>
      <x:c r="K50" s="2" t="str">
        <x:v>Accurate path prompt cannot fix the wrong host snapshot, directly requiring updating the selected Skill status when switching in the sandbox.  An inferred match only; not recognized as a verified repair.</x:v>
      </x:c>
      <x:c r="L50" s="2" t="str">
        <x:v>One closest-fit strategy is selected as additionally requested.  Accurate path prompt cannot fix the wrong host snapshot, directly requiring updating the selected Skill status when switching in the sandbox.  An inferred match only; not recognized as a verified repair.  The original evidence review is U1; this does not establish that a targeted repair has been verified.</x:v>
      </x:c>
      <x:c r="M50" s="2" t="str">
        <x:v>https://github.com/openclaw/openclaw/issues/43383</x:v>
      </x:c>
      <x:c r="N50" s="2" t="str">
        <x:v>U1</x:v>
      </x:c>
      <x:c r="O50" s="2" t="str">
        <x:v>Inferred from the primary root cause</x:v>
      </x:c>
    </x:row>
    <x:row r="51" ht="48.5" customHeight="1">
      <x:c r="A51" s="2" t="str">
        <x:v>R0190</x:v>
      </x:c>
      <x:c r="B51" s="2" t="str">
        <x:v>NousResearch/hermes-agent</x:v>
      </x:c>
      <x:c r="C51" s="2" t="n">
        <x:v>30966</x:v>
      </x:c>
      <x:c r="D51" s="2" t="str">
        <x:v>C11</x:v>
      </x:c>
      <x:c r="E51" s="2" t="str">
        <x:v>U1</x:v>
      </x:c>
      <x:c r="F51" s="2" t="str">
        <x:v>U1</x:v>
      </x:c>
      <x:c r="G51" s="2" t="str">
        <x:v>F02</x:v>
      </x:c>
      <x:c r="H51" s="2" t="str">
        <x:v>Execution-flow and state correction</x:v>
      </x:c>
      <x:c r="I51" s="2" t="str">
        <x:v>Insufficient association evidence</x:v>
      </x:c>
      <x:c r="J51" s="2" t="str">
        <x:v>Recommended actions (presumption): Recommendations for harmonization based on shared mission database statistical activity tasks and atomic access gateway concurrency Budget.</x:v>
      </x:c>
      <x:c r="K51" s="2" t="str">
        <x:v>Summary Clear default allocation and concurrency logical adjustment, closest to task scheduling status and budget; shared database global limits are not yet fully realized.  This is an additional closest-fit assignment, not an established repair fact.</x:v>
      </x:c>
      <x:c r="L51" s="2" t="str">
        <x:v>One closest-fit strategy is selected as additionally requested.  Summary Clear default allocation and concurrency logical adjustment, closest to task scheduling status and budget; shared database global limits are not yet fully realized.  This is an additional closest-fit assignment, not an established repair fact.  The original evidence review is U1; this does not establish that a targeted repair has been verified.</x:v>
      </x:c>
      <x:c r="M51" s="2" t="str">
        <x:v>https://github.com/NousResearch/hermes-agent/issues/30966</x:v>
      </x:c>
      <x:c r="N51" s="2" t="str">
        <x:v>U1</x:v>
      </x:c>
      <x:c r="O51" s="2" t="str">
        <x:v>Closest fit to the intent described in the summary</x:v>
      </x:c>
    </x:row>
    <x:row r="52" ht="48.5" customHeight="1">
      <x:c r="A52" s="2" t="str">
        <x:v>R0188</x:v>
      </x:c>
      <x:c r="B52" s="2" t="str">
        <x:v>NousResearch/hermes-agent</x:v>
      </x:c>
      <x:c r="C52" s="2" t="n">
        <x:v>30896</x:v>
      </x:c>
      <x:c r="D52" s="2" t="str">
        <x:v>C24</x:v>
      </x:c>
      <x:c r="E52" s="2" t="str">
        <x:v>U1</x:v>
      </x:c>
      <x:c r="F52" s="2" t="str">
        <x:v>U1</x:v>
      </x:c>
      <x:c r="G52" s="2" t="str">
        <x:v>F02</x:v>
      </x:c>
      <x:c r="H52" s="2" t="str">
        <x:v>Execution-flow and state correction</x:v>
      </x:c>
      <x:c r="I52" s="2" t="str">
        <x:v>Insufficient association evidence</x:v>
      </x:c>
      <x:c r="J52" s="2" t="str">
        <x:v>Recommended action: Recommended to submit a failure count at the retry before entering the atom and coordinate the trans-worker database writing.</x:v>
      </x:c>
      <x:c r="K52" s="2" t="str">
        <x:v>The abstract is called SQLite/worker stability only and requires a specific root cause recommended lifecycle written in rapid retry with concurrency and written in sequence. This is an additional closest-fit assignment, not an established repair fact.</x:v>
      </x:c>
      <x:c r="L52" s="2" t="str">
        <x:v>One closest-fit strategy is selected as additionally requested.  The abstract is called SQLite/worker stability only and requires a specific root cause recommended lifecycle written in rapid retry with concurrency and written in sequence. This is an additional closest-fit assignment, not an established repair fact.  The original evidence review is U1; this does not establish that a targeted repair has been verified.</x:v>
      </x:c>
      <x:c r="M52" s="2" t="str">
        <x:v>https://github.com/NousResearch/hermes-agent/issues/30896</x:v>
      </x:c>
      <x:c r="N52" s="2" t="str">
        <x:v>U1</x:v>
      </x:c>
      <x:c r="O52" s="2" t="str">
        <x:v>Inferred from the primary root cause</x:v>
      </x:c>
    </x:row>
    <x:row r="53" ht="48.5" customHeight="1">
      <x:c r="A53" s="2" t="str">
        <x:v>R0186</x:v>
      </x:c>
      <x:c r="B53" s="2" t="str">
        <x:v>NousResearch/hermes-agent</x:v>
      </x:c>
      <x:c r="C53" s="2" t="n">
        <x:v>29015</x:v>
      </x:c>
      <x:c r="D53" s="2" t="str">
        <x:v>C16</x:v>
      </x:c>
      <x:c r="E53" s="2" t="str">
        <x:v>U1</x:v>
      </x:c>
      <x:c r="F53" s="2" t="str">
        <x:v>U1</x:v>
      </x:c>
      <x:c r="G53" s="2" t="str">
        <x:v>F04</x:v>
      </x:c>
      <x:c r="H53" s="2" t="str">
        <x:v>Environment and distribution adaptation</x:v>
      </x:c>
      <x:c r="I53" s="2" t="str">
        <x:v>Recorded as implemented in the source data</x:v>
      </x:c>
      <x:c r="J53" s="2" t="str">
        <x:v>Recommended Action: Recommended explicitly agreeing the profile subprocess HOME with the system credentials directory. </x:v>
      </x:c>
      <x:c r="K53" s="2" t="str">
        <x:v>Summary Objectives: Clear visibility of subprocess HOME strategy and macOS keychain, closest to external CLI operating environment adaptation; specific HOME options not disclosed.  This is an additional closest-fit assignment, not an established repair fact.</x:v>
      </x:c>
      <x:c r="L53" s="2" t="str">
        <x:v>One closest-fit strategy is selected as additionally requested.  Summary Objectives: Clear visibility of subprocess HOME strategy and macOS keychain, closest to external CLI operating environment adaptation; specific HOME options not disclosed.  This is an additional closest-fit assignment, not an established repair fact.  The original evidence review is U1; this does not establish that a targeted repair has been verified.</x:v>
      </x:c>
      <x:c r="M53" s="2" t="str">
        <x:v>https://github.com/NousResearch/hermes-agent/issues/29015</x:v>
      </x:c>
      <x:c r="N53" s="2" t="str">
        <x:v>U1</x:v>
      </x:c>
      <x:c r="O53" s="2" t="str">
        <x:v>Closest fit to the intent described in the summary</x:v>
      </x:c>
    </x:row>
    <x:row r="54" ht="48.5" customHeight="1">
      <x:c r="A54" s="2" t="str">
        <x:v>R0180</x:v>
      </x:c>
      <x:c r="B54" s="2" t="str">
        <x:v>NousResearch/hermes-agent</x:v>
      </x:c>
      <x:c r="C54" s="2" t="n">
        <x:v>23402</x:v>
      </x:c>
      <x:c r="D54" s="2" t="str">
        <x:v>C17</x:v>
      </x:c>
      <x:c r="E54" s="2" t="str">
        <x:v>U1</x:v>
      </x:c>
      <x:c r="F54" s="2" t="str">
        <x:v>U1</x:v>
      </x:c>
      <x:c r="G54" s="2" t="str">
        <x:v>F04</x:v>
      </x:c>
      <x:c r="H54" s="2" t="str">
        <x:v>Environment and distribution adaptation</x:v>
      </x:c>
      <x:c r="I54" s="2" t="str">
        <x:v>Insufficient association evidence</x:v>
      </x:c>
      <x:c r="J54" s="2" t="str">
        <x:v>Recommended action: Calibrate runtime directory ownership with actual UID/GID when the recommended container is launched.</x:v>
      </x:c>
      <x:c r="K54" s="2" t="str">
        <x:v>Candidate title clearly re-mapped Docker run permission under UID, closest to deploying user and directory layout premises.  This is an additional closest-fit assignment, not an established repair fact.</x:v>
      </x:c>
      <x:c r="L54" s="2" t="str">
        <x:v>One closest-fit strategy is selected as additionally requested.  Candidate title clearly re-mapped Docker run permission under UID, closest to deploying user and directory layout premises.  This is an additional closest-fit assignment, not an established repair fact.  The original evidence review is U1; this does not establish that a targeted repair has been verified.</x:v>
      </x:c>
      <x:c r="M54" s="2" t="str">
        <x:v>https://github.com/NousResearch/hermes-agent/issues/23402</x:v>
      </x:c>
      <x:c r="N54" s="2" t="str">
        <x:v>U1</x:v>
      </x:c>
      <x:c r="O54" s="2" t="str">
        <x:v>Closest fit to the intent described in the summary</x:v>
      </x:c>
    </x:row>
    <x:row r="55" ht="48.5" customHeight="1">
      <x:c r="A55" s="2" t="str">
        <x:v>R0178</x:v>
      </x:c>
      <x:c r="B55" s="2" t="str">
        <x:v>NousResearch/hermes-agent</x:v>
      </x:c>
      <x:c r="C55" s="2" t="n">
        <x:v>22761</x:v>
      </x:c>
      <x:c r="D55" s="2" t="str">
        <x:v>C24</x:v>
      </x:c>
      <x:c r="E55" s="2" t="str">
        <x:v>U1</x:v>
      </x:c>
      <x:c r="F55" s="2" t="str">
        <x:v>U1</x:v>
      </x:c>
      <x:c r="G55" s="2" t="str">
        <x:v>F02</x:v>
      </x:c>
      <x:c r="H55" s="2" t="str">
        <x:v>Execution-flow and state correction</x:v>
      </x:c>
      <x:c r="I55" s="2" t="str">
        <x:v>Recorded as implemented in the source data</x:v>
      </x:c>
      <x:c r="J55" s="2" t="str">
        <x:v>Recommended Action: Recommended to build a cross-process repudiation of jobs.json read and write and use full submissions.</x:v>
      </x:c>
      <x:c r="K55" s="2" t="str">
        <x:v>Summary Clearly trans-process safe writing jobs.json goals, closest to applying persistent state consistency; not confirmed specific locks or atom substitution algorithms.  This is an additional closest-fit assignment, not an established repair fact.</x:v>
      </x:c>
      <x:c r="L55" s="2" t="str">
        <x:v>One closest-fit strategy is selected as additionally requested.  Summary Clearly trans-process safe writing jobs.json goals, closest to applying persistent state consistency; not confirmed specific locks or atom substitution algorithms.  This is an additional closest-fit assignment, not an established repair fact.  The original evidence review is U1; this does not establish that a targeted repair has been verified.</x:v>
      </x:c>
      <x:c r="M55" s="2" t="str">
        <x:v>https://github.com/NousResearch/hermes-agent/issues/22761</x:v>
      </x:c>
      <x:c r="N55" s="2" t="str">
        <x:v>U1</x:v>
      </x:c>
      <x:c r="O55" s="2" t="str">
        <x:v>Closest fit to the intent described in the summary</x:v>
      </x:c>
    </x:row>
    <x:row r="56" ht="35" customHeight="1">
      <x:c r="A56" s="2" t="str">
        <x:v>R0169</x:v>
      </x:c>
      <x:c r="B56" s="2" t="str">
        <x:v>NousResearch/hermes-agent</x:v>
      </x:c>
      <x:c r="C56" s="2" t="n">
        <x:v>17182</x:v>
      </x:c>
      <x:c r="D56" s="2" t="str">
        <x:v>C21</x:v>
      </x:c>
      <x:c r="E56" s="2" t="str">
        <x:v>F02</x:v>
      </x:c>
      <x:c r="F56" s="2" t="str">
        <x:v>F01</x:v>
      </x:c>
      <x:c r="G56" s="2" t="str">
        <x:v>F02</x:v>
      </x:c>
      <x:c r="H56" s="2" t="str">
        <x:v>Execution-flow and state correction</x:v>
      </x:c>
      <x:c r="I56" s="2" t="str">
        <x:v>Partial coverage</x:v>
      </x:c>
      <x:c r="J56" s="2" t="str">
        <x:v>Work directories and auxiliary models to restore work from the original configuration after migration</x:v>
      </x:c>
      <x:c r="K56" s="2" t="str">
        <x:v>The lost status of the original configuration is maintained after the reset migration and belongs to the cross-version status; coverage of only specified cwd and auxiliary, time zones etc. remains unknown.</x:v>
      </x:c>
      <x:c r="L56" s="2" t="str">
        <x:v>Calculated integrated backcheck: lost status after the original configuration resumed migration, belonging to the cross-version state remains; only explicit coverage of cwd and auxiliary, time zones etc. is still unknown.</x:v>
      </x:c>
      <x:c r="M56" s="2" t="str">
        <x:v>https://github.com/NousResearch/hermes-agent/issues/17182</x:v>
      </x:c>
      <x:c r="N56" s="2" t="str">
        <x:v>F02</x:v>
      </x:c>
      <x:c r="O56" s="2" t="str">
        <x:v>Determinate from available evidence</x:v>
      </x:c>
    </x:row>
    <x:row r="57" ht="48.5" customHeight="1">
      <x:c r="A57" s="2" t="str">
        <x:v>R0163</x:v>
      </x:c>
      <x:c r="B57" s="2" t="str">
        <x:v>NousResearch/hermes-agent</x:v>
      </x:c>
      <x:c r="C57" s="2" t="n">
        <x:v>14603</x:v>
      </x:c>
      <x:c r="D57" s="2" t="str">
        <x:v>C08</x:v>
      </x:c>
      <x:c r="E57" s="2" t="str">
        <x:v>U1</x:v>
      </x:c>
      <x:c r="F57" s="2" t="str">
        <x:v>U1</x:v>
      </x:c>
      <x:c r="G57" s="2" t="str">
        <x:v>F01</x:v>
      </x:c>
      <x:c r="H57" s="2" t="str">
        <x:v>Representation and usage-contract alignment</x:v>
      </x:c>
      <x:c r="I57" s="2" t="str">
        <x:v>Implementation status pending verification</x:v>
      </x:c>
      <x:c r="J57" s="2" t="str">
        <x:v>Recommended Action: Context of Active Task in Unified Compressed Summary and Restore Task Concepts, where it is clear that only the current user instruction determines the activity task</x:v>
      </x:c>
      <x:c r="K57" s="2" t="str">
        <x:v>The fixed main root cause is the semantic binding of SUMMARY_PREFIX to Active Task; the revised tip binding is more direct than the unrelated compressor clean state candidate.  Closest-fit inference only.</x:v>
      </x:c>
      <x:c r="L57" s="2" t="str">
        <x:v>One closest-fit strategy is selected as additionally requested.  The fixed main root cause is the semantic binding of SUMMARY_PREFIX to Active Task; the revised tip binding is more direct than the unrelated compressor clean state candidate.  Closest-fit inference only.  The original evidence review is U1; this does not establish that a targeted repair has been verified.</x:v>
      </x:c>
      <x:c r="M57" s="2" t="str">
        <x:v>https://github.com/NousResearch/hermes-agent/issues/14603</x:v>
      </x:c>
      <x:c r="N57" s="2" t="str">
        <x:v>U1</x:v>
      </x:c>
      <x:c r="O57" s="2" t="str">
        <x:v>Inferred from the primary root cause</x:v>
      </x:c>
    </x:row>
    <x:row r="58" ht="48.5" customHeight="1">
      <x:c r="A58" s="2" t="str">
        <x:v>R0153</x:v>
      </x:c>
      <x:c r="B58" s="2" t="str">
        <x:v>NousResearch/hermes-agent</x:v>
      </x:c>
      <x:c r="C58" s="2" t="n">
        <x:v>8487</x:v>
      </x:c>
      <x:c r="D58" s="2" t="str">
        <x:v>C10</x:v>
      </x:c>
      <x:c r="E58" s="2" t="str">
        <x:v>U1</x:v>
      </x:c>
      <x:c r="F58" s="2" t="str">
        <x:v>U1</x:v>
      </x:c>
      <x:c r="G58" s="2" t="str">
        <x:v>F02</x:v>
      </x:c>
      <x:c r="H58" s="2" t="str">
        <x:v>Execution-flow and state correction</x:v>
      </x:c>
      <x:c r="I58" s="2" t="str">
        <x:v>Recorded as implemented in the source data</x:v>
      </x:c>
      <x:c r="J58" s="2" t="str">
        <x:v>Recommended Action: Recommended to access the response path for new references after an automatic thread has been created and retain fallback.</x:v>
      </x:c>
      <x:c r="K58" s="2" t="str">
        <x:v>Summary Clearly merge automatic threads response with response fallback themes, closest to subsequent mention of message distribution advancement.  This is an additional closest-fit assignment, not an established repair fact.</x:v>
      </x:c>
      <x:c r="L58" s="2" t="str">
        <x:v>One closest-fit strategy is selected as additionally requested.  Summary Clearly merge automatic threads response with response fallback themes, closest to subsequent mention of message distribution advancement.  This is an additional closest-fit assignment, not an established repair fact.  The original evidence review is U1; this does not establish that a targeted repair has been verified.</x:v>
      </x:c>
      <x:c r="M58" s="2" t="str">
        <x:v>https://github.com/NousResearch/hermes-agent/issues/8487</x:v>
      </x:c>
      <x:c r="N58" s="2" t="str">
        <x:v>U1</x:v>
      </x:c>
      <x:c r="O58" s="2" t="str">
        <x:v>Closest fit to the intent described in the summary</x:v>
      </x:c>
    </x:row>
    <x:row r="59" ht="35" customHeight="1">
      <x:c r="A59" s="2" t="str">
        <x:v>R0151</x:v>
      </x:c>
      <x:c r="B59" s="2" t="str">
        <x:v>NousResearch/hermes-agent</x:v>
      </x:c>
      <x:c r="C59" s="2" t="n">
        <x:v>7968</x:v>
      </x:c>
      <x:c r="D59" s="2" t="str">
        <x:v>C10</x:v>
      </x:c>
      <x:c r="E59" s="2" t="str">
        <x:v>F02</x:v>
      </x:c>
      <x:c r="F59" s="2" t="str">
        <x:v>F03</x:v>
      </x:c>
      <x:c r="G59" s="2" t="str">
        <x:v>F02</x:v>
      </x:c>
      <x:c r="H59" s="2" t="str">
        <x:v>Execution-flow and state correction</x:v>
      </x:c>
      <x:c r="I59" s="2" t="str">
        <x:v>Candidate change not merged</x:v>
      </x:c>
      <x:c r="J59" s="2" t="str">
        <x:v>The retry mechanism is to use the old content again.</x:v>
      </x:c>
      <x:c r="K59" s="2" t="str">
        <x:v>It's the same fallback Move to All retry After that, the initiative was to restore the order of execution, not to add an anomaly fallback.</x:v>
      </x:c>
      <x:c r="L59" s="2" t="str">
        <x:v>Combine and check back: same as in fallback Move to All retry After that, the initiative was to restore the order of execution, not to add an anomaly fallback.</x:v>
      </x:c>
      <x:c r="M59" s="2" t="str">
        <x:v>https://github.com/NousResearch/hermes-agent/issues/7968</x:v>
      </x:c>
      <x:c r="N59" s="2" t="str">
        <x:v>F02</x:v>
      </x:c>
      <x:c r="O59" s="2" t="str">
        <x:v>Determinate from available evidence</x:v>
      </x:c>
    </x:row>
    <x:row r="60" ht="35" customHeight="1">
      <x:c r="A60" s="2" t="str">
        <x:v>R0148</x:v>
      </x:c>
      <x:c r="B60" s="2" t="str">
        <x:v>NousResearch/hermes-agent</x:v>
      </x:c>
      <x:c r="C60" s="2" t="n">
        <x:v>6582</x:v>
      </x:c>
      <x:c r="D60" s="2" t="str">
        <x:v>C20</x:v>
      </x:c>
      <x:c r="E60" s="2" t="str">
        <x:v>F03</x:v>
      </x:c>
      <x:c r="F60" s="2" t="str">
        <x:v>F02</x:v>
      </x:c>
      <x:c r="G60" s="2" t="str">
        <x:v>F03</x:v>
      </x:c>
      <x:c r="H60" s="2" t="str">
        <x:v>Validation and failure-path hardening</x:v>
      </x:c>
      <x:c r="I60" s="2" t="str">
        <x:v>Candidate change not merged</x:v>
      </x:c>
      <x:c r="J60" s="2" t="str">
        <x:v>scheduled task banned the tool meeting</x:v>
      </x:c>
      <x:c r="K60" s="2" t="str">
        <x:v>The method of delegation of non-safe transmission activity signals is subject to a definitive protection ban; tracker transmission has not been corrected and candidates have not been merged.</x:v>
      </x:c>
      <x:c r="L60" s="2" t="str">
        <x:v>Calculated integrated retrievals: the method of assigning signals that cannot be safely transmitted by an activity is dependent on the certainty protection access; tracker transmission has not been corrected and candidates have not been merged.</x:v>
      </x:c>
      <x:c r="M60" s="2" t="str">
        <x:v>https://github.com/NousResearch/hermes-agent/issues/6582</x:v>
      </x:c>
      <x:c r="N60" s="2" t="str">
        <x:v>F03</x:v>
      </x:c>
      <x:c r="O60" s="2" t="str">
        <x:v>Determinate from available evidence</x:v>
      </x:c>
    </x:row>
    <x:row r="61" ht="48.5" customHeight="1">
      <x:c r="A61" s="2" t="str">
        <x:v>R0138</x:v>
      </x:c>
      <x:c r="B61" s="2" t="str">
        <x:v>NousResearch/hermes-agent</x:v>
      </x:c>
      <x:c r="C61" s="2" t="n">
        <x:v>2338</x:v>
      </x:c>
      <x:c r="D61" s="2" t="str">
        <x:v>C11</x:v>
      </x:c>
      <x:c r="E61" s="2" t="str">
        <x:v>U1</x:v>
      </x:c>
      <x:c r="F61" s="2" t="str">
        <x:v>U1</x:v>
      </x:c>
      <x:c r="G61" s="2" t="str">
        <x:v>F02</x:v>
      </x:c>
      <x:c r="H61" s="2" t="str">
        <x:v>Execution-flow and state correction</x:v>
      </x:c>
      <x:c r="I61" s="2" t="str">
        <x:v>Implementation status pending verification</x:v>
      </x:c>
      <x:c r="J61" s="2" t="str">
        <x:v>Recommended Action: Recommended to close the loop of events prior to client clearance and maintain ownership of the loop.</x:v>
      </x:c>
      <x:c r="K61" s="2" t="str">
        <x:v>The abstract only points to the clean-up crash, where root cause makes it clear that clients rely on persistent event cycles and are closest to asynchronous resource lifecycle management. This is an additional closest-fit assignment, not an established repair fact.</x:v>
      </x:c>
      <x:c r="L61" s="2" t="str">
        <x:v>One closest-fit strategy is selected as additionally requested.  The abstract only points to the clean-up crash, where root cause makes it clear that clients rely on persistent event cycles and are closest to asynchronous resource lifecycle management. This is an additional closest-fit assignment, not an established repair fact.  The original evidence review is U1; this does not establish that a targeted repair has been verified.</x:v>
      </x:c>
      <x:c r="M61" s="2" t="str">
        <x:v>https://github.com/NousResearch/hermes-agent/issues/2338</x:v>
      </x:c>
      <x:c r="N61" s="2" t="str">
        <x:v>U1</x:v>
      </x:c>
      <x:c r="O61" s="2" t="str">
        <x:v>Inferred from the primary root cause</x:v>
      </x:c>
    </x:row>
    <x:row r="62" ht="48.5" customHeight="1">
      <x:c r="A62" s="2" t="str">
        <x:v>R0132</x:v>
      </x:c>
      <x:c r="B62" s="2" t="str">
        <x:v>NousResearch/hermes-agent</x:v>
      </x:c>
      <x:c r="C62" s="2" t="n">
        <x:v>487</x:v>
      </x:c>
      <x:c r="D62" s="2" t="str">
        <x:v>C24</x:v>
      </x:c>
      <x:c r="E62" s="2" t="str">
        <x:v>U1</x:v>
      </x:c>
      <x:c r="F62" s="2" t="str">
        <x:v>U1</x:v>
      </x:c>
      <x:c r="G62" s="2" t="str">
        <x:v>F02</x:v>
      </x:c>
      <x:c r="H62" s="2" t="str">
        <x:v>Execution-flow and state correction</x:v>
      </x:c>
      <x:c r="I62" s="2" t="str">
        <x:v>Insufficient association evidence</x:v>
      </x:c>
      <x:c r="J62" s="2" t="str">
        <x:v>Recommended Action: Recommended independent audit plugins to record and link verifiable event trajectories.</x:v>
      </x:c>
      <x:c r="K62" s="2" t="str">
        <x:v>Candidate adds new secret audit trajectory plugins, closest to event recording and perpetuation; this sample is a functional proposal that cannot be proposed as defects fixed.  This is an additional closest-fit assignment, not an established repair fact.</x:v>
      </x:c>
      <x:c r="L62" s="2" t="str">
        <x:v>One closest-fit strategy is selected as additionally requested.  Candidate adds new secret audit trajectory plugins, closest to event recording and perpetuation; this sample is a functional proposal that cannot be proposed as defects fixed.  This is an additional closest-fit assignment, not an established repair fact.  The original evidence review is U1; this does not establish that a targeted repair has been verified.</x:v>
      </x:c>
      <x:c r="M62" s="2" t="str">
        <x:v>https://github.com/NousResearch/hermes-agent/issues/487</x:v>
      </x:c>
      <x:c r="N62" s="2" t="str">
        <x:v>U1</x:v>
      </x:c>
      <x:c r="O62" s="2" t="str">
        <x:v>Closest fit to the intent described in the summary</x:v>
      </x:c>
    </x:row>
    <x:row r="63" ht="35" customHeight="1">
      <x:c r="A63" s="2" t="str">
        <x:v>R0007</x:v>
      </x:c>
      <x:c r="B63" s="2" t="str">
        <x:v>openclaw/openclaw</x:v>
      </x:c>
      <x:c r="C63" s="2" t="n">
        <x:v>8460</x:v>
      </x:c>
      <x:c r="D63" s="2" t="str">
        <x:v>C16</x:v>
      </x:c>
      <x:c r="E63" s="2" t="str">
        <x:v>F02</x:v>
      </x:c>
      <x:c r="F63" s="2" t="str">
        <x:v>F01</x:v>
      </x:c>
      <x:c r="G63" s="2" t="str">
        <x:v>F02</x:v>
      </x:c>
      <x:c r="H63" s="2" t="str">
        <x:v>Execution-flow and state correction</x:v>
      </x:c>
      <x:c r="I63" s="2" t="str">
        <x:v>Partial coverage</x:v>
      </x:c>
      <x:c r="J63" s="2" t="str">
        <x:v>The target agent master model is pre-defaulted by subagent nationwide</x:v>
      </x:c>
      <x:c r="K63" s="2" t="str">
        <x:v>Adjust the fallback sequence from which the model has already been configured; modified and re-modified, cannot be called a permanent fix. </x:v>
      </x:c>
      <x:c r="L63" s="2" t="str">
        <x:v>Calculated integrated back-checking: adjusting the fallback sequence from which the model has already been configured; modified and re-modified after being modified, cannot be called a permanent fix of the existing configuration.</x:v>
      </x:c>
      <x:c r="M63" s="2" t="str">
        <x:v>https://github.com/openclaw/openclaw/issues/8460</x:v>
      </x:c>
      <x:c r="N63" s="2" t="str">
        <x:v>F02</x:v>
      </x:c>
      <x:c r="O63" s="2" t="str">
        <x:v>Determinate from available evidence</x:v>
      </x:c>
    </x:row>
    <x:row r="64" ht="35" customHeight="1">
      <x:c r="A64" s="2" t="str">
        <x:v>R0031</x:v>
      </x:c>
      <x:c r="B64" s="2" t="str">
        <x:v>openclaw/openclaw</x:v>
      </x:c>
      <x:c r="C64" s="2" t="n">
        <x:v>40845</x:v>
      </x:c>
      <x:c r="D64" s="2" t="str">
        <x:v>C13</x:v>
      </x:c>
      <x:c r="E64" s="2" t="str">
        <x:v>F02</x:v>
      </x:c>
      <x:c r="F64" s="2" t="str">
        <x:v>F03</x:v>
      </x:c>
      <x:c r="G64" s="2" t="str">
        <x:v>F02</x:v>
      </x:c>
      <x:c r="H64" s="2" t="str">
        <x:v>Execution-flow and state correction</x:v>
      </x:c>
      <x:c r="I64" s="2" t="str">
        <x:v>Partial coverage</x:v>
      </x:c>
      <x:c r="J64" s="2" t="str">
        <x:v>Failure to read frozen or recycle historical text</x:v>
      </x:c>
      <x:c r="K64" s="2" t="str">
        <x:v>Select the result source and stop freezing/re-posting history according to an existing error ending, not newly added error classification; channel redirects missing single attributions, retaining partial coverage.</x:v>
      </x:c>
      <x:c r="L64" s="2" t="str">
        <x:v>Calculated integrated retrieval: Select the result source according to an already erroneous ending and stop freezing/reset history, not newly added error classification; channel redirects missing single attributions, retaining partial coverage.</x:v>
      </x:c>
      <x:c r="M64" s="2" t="str">
        <x:v>https://github.com/openclaw/openclaw/issues/40845</x:v>
      </x:c>
      <x:c r="N64" s="2" t="str">
        <x:v>F02</x:v>
      </x:c>
      <x:c r="O64" s="2" t="str">
        <x:v>Determinate from available evidence</x:v>
      </x:c>
    </x:row>
    <x:row r="65" ht="24" customHeight="1">
      <x:c r="A65" s="2" t="str">
        <x:v>R0043</x:v>
      </x:c>
      <x:c r="B65" s="2" t="str">
        <x:v>openclaw/openclaw</x:v>
      </x:c>
      <x:c r="C65" s="2" t="n">
        <x:v>49074</x:v>
      </x:c>
      <x:c r="D65" s="2" t="str">
        <x:v>C16</x:v>
      </x:c>
      <x:c r="E65" s="2" t="str">
        <x:v>F02</x:v>
      </x:c>
      <x:c r="F65" s="2" t="str">
        <x:v>F01</x:v>
      </x:c>
      <x:c r="G65" s="2" t="str">
        <x:v>F02</x:v>
      </x:c>
      <x:c r="H65" s="2" t="str">
        <x:v>Execution-flow and state correction</x:v>
      </x:c>
      <x:c r="I65" s="2" t="str">
        <x:v>Recorded as implemented in the source data</x:v>
      </x:c>
      <x:c r="J65" s="2" t="str">
        <x:v>subagent model preference at the proxy level and at the global level</x:v>
      </x:c>
      <x:c r="K65" s="2" t="str">
        <x:v>Change the model to select fallback order and add cron devalue ratings, which are state-source preferences.</x:v>
      </x:c>
      <x:c r="L65" s="2" t="str">
        <x:v>Calculated integrated retest: Change the model to select fallback sequence and replenish cron devalue ranking, belonging to state source priority options.</x:v>
      </x:c>
      <x:c r="M65" s="2" t="str">
        <x:v>https://github.com/openclaw/openclaw/issues/49074</x:v>
      </x:c>
      <x:c r="N65" s="2" t="str">
        <x:v>F02</x:v>
      </x:c>
      <x:c r="O65" s="2" t="str">
        <x:v>Determinate from available evidence</x:v>
      </x:c>
    </x:row>
    <x:row r="66" ht="48.5" customHeight="1">
      <x:c r="A66" s="2" t="str">
        <x:v>R0064</x:v>
      </x:c>
      <x:c r="B66" s="2" t="str">
        <x:v>openclaw/openclaw</x:v>
      </x:c>
      <x:c r="C66" s="2" t="n">
        <x:v>62558</x:v>
      </x:c>
      <x:c r="D66" s="2" t="str">
        <x:v>C10</x:v>
      </x:c>
      <x:c r="E66" s="2" t="str">
        <x:v>U1</x:v>
      </x:c>
      <x:c r="F66" s="2" t="str">
        <x:v>U1</x:v>
      </x:c>
      <x:c r="G66" s="2" t="str">
        <x:v>F02</x:v>
      </x:c>
      <x:c r="H66" s="2" t="str">
        <x:v>Execution-flow and state correction</x:v>
      </x:c>
      <x:c r="I66" s="2" t="str">
        <x:v>Workaround only or existing behavior</x:v>
      </x:c>
      <x:c r="J66" s="2" t="str">
        <x:v>Recommended Action: Recommended to verify the full path of QQ text commands from enlistment to frame processing and response delivery.</x:v>
      </x:c>
      <x:c r="K66" s="2" t="str">
        <x:v>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x:v>
      </x:c>
      <x:c r="L66" s="2" t="str">
        <x:v>One closest-fit strategy is selected as additionally requested.  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  The original evidence review is U1; this does not establish that a targeted repair has been verified.</x:v>
      </x:c>
      <x:c r="M66" s="2" t="str">
        <x:v>https://github.com/openclaw/openclaw/issues/62558</x:v>
      </x:c>
      <x:c r="N66" s="2" t="str">
        <x:v>U1</x:v>
      </x:c>
      <x:c r="O66" s="2" t="str">
        <x:v>Closest fit to the intent described in the summary</x:v>
      </x:c>
    </x:row>
    <x:row r="67" ht="35" customHeight="1">
      <x:c r="A67" s="2" t="str">
        <x:v>R0069</x:v>
      </x:c>
      <x:c r="B67" s="2" t="str">
        <x:v>openclaw/openclaw</x:v>
      </x:c>
      <x:c r="C67" s="2" t="n">
        <x:v>65183</x:v>
      </x:c>
      <x:c r="D67" s="2" t="str">
        <x:v>C19</x:v>
      </x:c>
      <x:c r="E67" s="2" t="str">
        <x:v>F02</x:v>
      </x:c>
      <x:c r="F67" s="2" t="str">
        <x:v>F01</x:v>
      </x:c>
      <x:c r="G67" s="2" t="str">
        <x:v>F02</x:v>
      </x:c>
      <x:c r="H67" s="2" t="str">
        <x:v>Execution-flow and state correction</x:v>
      </x:c>
      <x:c r="I67" s="2" t="str">
        <x:v>Recorded as implemented in the source data</x:v>
      </x:c>
      <x:c r="J67" s="2" t="str">
        <x:v>Plug-ins synchronize registration and move key resolution to the request period</x:v>
      </x:c>
      <x:c r="K67" s="2" t="str">
        <x:v>Regular registration of synchronization, key analysis extended to request period, rebuild load timing; promise refused and rollback provided support protection.</x:v>
      </x:c>
      <x:c r="L67" s="2" t="str">
        <x:v>After computation, integrated backchecks: normal registration synchronization; key analysis delayed to the request period, rebuild load timing; promise refused and rollback as support protection.</x:v>
      </x:c>
      <x:c r="M67" s="2" t="str">
        <x:v>https://github.com/openclaw/openclaw/issues/65183</x:v>
      </x:c>
      <x:c r="N67" s="2" t="str">
        <x:v>F02</x:v>
      </x:c>
      <x:c r="O67" s="2" t="str">
        <x:v>Determinate from available evidence</x:v>
      </x:c>
    </x:row>
    <x:row r="68" ht="48.5" customHeight="1">
      <x:c r="A68" s="2" t="str">
        <x:v>R0070</x:v>
      </x:c>
      <x:c r="B68" s="2" t="str">
        <x:v>openclaw/openclaw</x:v>
      </x:c>
      <x:c r="C68" s="2" t="n">
        <x:v>65954</x:v>
      </x:c>
      <x:c r="D68" s="2" t="str">
        <x:v>C24</x:v>
      </x:c>
      <x:c r="E68" s="2" t="str">
        <x:v>F02</x:v>
      </x:c>
      <x:c r="F68" s="2" t="str">
        <x:v>F02</x:v>
      </x:c>
      <x:c r="G68" s="2" t="str">
        <x:v>F02</x:v>
      </x:c>
      <x:c r="H68" s="2" t="str">
        <x:v>Execution-flow and state correction</x:v>
      </x:c>
      <x:c r="I68" s="2" t="str">
        <x:v>Insufficient association evidence</x:v>
      </x:c>
      <x:c r="J68" s="2" t="str">
        <x:v>Recommended action: Recommended to successfully transcribe the CLI authorization round and complete the notification according to the product.</x:v>
      </x:c>
      <x:c r="K68" s="2" t="str">
        <x:v>Possible correction to specify perpetuated CLI transcript rounds, closest to the conservation and subsequent capture of the result produced.  This is an additional closest-fit assignment, not an established repair fact.</x:v>
      </x:c>
      <x:c r="L68" s="2" t="str">
        <x:v>One closest-fit strategy is selected as additionally requested.  Possible correction to specify perpetuated CLI transcript rounds, closest to the conservation and subsequent capture of the result produced.  This is an additional closest-fit assignment, not an established repair fact.  The original evidence review is U1; this does not establish that a targeted repair has been verified.</x:v>
      </x:c>
      <x:c r="M68" s="2" t="str">
        <x:v>https://github.com/openclaw/openclaw/issues/65954</x:v>
      </x:c>
      <x:c r="N68" s="2" t="str">
        <x:v>U1</x:v>
      </x:c>
      <x:c r="O68" s="2" t="str">
        <x:v>Closest fit to the intent described in the summary</x:v>
      </x:c>
    </x:row>
    <x:row r="69" ht="48.5" customHeight="1">
      <x:c r="A69" s="2" t="str">
        <x:v>R0073</x:v>
      </x:c>
      <x:c r="B69" s="2" t="str">
        <x:v>openclaw/openclaw</x:v>
      </x:c>
      <x:c r="C69" s="2" t="n">
        <x:v>70717</x:v>
      </x:c>
      <x:c r="D69" s="2" t="str">
        <x:v>C09</x:v>
      </x:c>
      <x:c r="E69" s="2" t="str">
        <x:v>U1</x:v>
      </x:c>
      <x:c r="F69" s="2" t="str">
        <x:v>U1</x:v>
      </x:c>
      <x:c r="G69" s="2" t="str">
        <x:v>F02</x:v>
      </x:c>
      <x:c r="H69" s="2" t="str">
        <x:v>Execution-flow and state correction</x:v>
      </x:c>
      <x:c r="I69" s="2" t="str">
        <x:v>Insufficient association evidence</x:v>
      </x:c>
      <x:c r="J69" s="2" t="str">
        <x:v>Recommended action: Recommended to reuse the boot plug-in index and load according to actual boot state limits, then test memory.</x:v>
      </x:c>
      <x:c r="K69" s="2" t="str">
        <x:v>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x:v>
      </x:c>
      <x:c r="L69" s="2" t="str">
        <x:v>One closest-fit strategy is selected as additionally requested.  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  The original evidence review is U1; this does not establish that a targeted repair has been verified.</x:v>
      </x:c>
      <x:c r="M69" s="2" t="str">
        <x:v>https://github.com/openclaw/openclaw/issues/70717</x:v>
      </x:c>
      <x:c r="N69" s="2" t="str">
        <x:v>U1</x:v>
      </x:c>
      <x:c r="O69" s="2" t="str">
        <x:v>Closest fit to the intent described in the summary</x:v>
      </x:c>
    </x:row>
    <x:row r="70" ht="35" customHeight="1">
      <x:c r="A70" s="2" t="str">
        <x:v>R0090</x:v>
      </x:c>
      <x:c r="B70" s="2" t="str">
        <x:v>openclaw/openclaw</x:v>
      </x:c>
      <x:c r="C70" s="2" t="n">
        <x:v>78671</x:v>
      </x:c>
      <x:c r="D70" s="2" t="str">
        <x:v>C05</x:v>
      </x:c>
      <x:c r="E70" s="2" t="str">
        <x:v>F01</x:v>
      </x:c>
      <x:c r="F70" s="2" t="str">
        <x:v>F02</x:v>
      </x:c>
      <x:c r="G70" s="2" t="str">
        <x:v>F02</x:v>
      </x:c>
      <x:c r="H70" s="2" t="str">
        <x:v>Execution-flow and state correction</x:v>
      </x:c>
      <x:c r="I70" s="2" t="str">
        <x:v>Recorded as implemented in the source data</x:v>
      </x:c>
      <x:c r="J70" s="2" t="str">
        <x:v>The tool name matching performed by the actual factory</x:v>
      </x:c>
      <x:c r="K70" s="2" t="str">
        <x:v>The dynamic division is the main action, not just changing the static name field, when executing the object-oriented candidate and selecting tool according to the actual return name. </x:v>
      </x:c>
      <x:c r="L70" s="2" t="str">
        <x:v>Calculated integrated retrospective: when executed, the candidate is successively localized and selected tool according to the actual return name; the action is dynamic distribution; not just changing the static name field.</x:v>
      </x:c>
      <x:c r="M70" s="2" t="str">
        <x:v>https://github.com/openclaw/openclaw/issues/78671</x:v>
      </x:c>
      <x:c r="N70" s="2" t="str">
        <x:v>F02</x:v>
      </x:c>
      <x:c r="O70" s="2" t="str">
        <x:v>Determinate from available evidence</x:v>
      </x:c>
    </x:row>
    <x:row r="71" ht="35" customHeight="1">
      <x:c r="A71" s="2" t="str">
        <x:v>R0117</x:v>
      </x:c>
      <x:c r="B71" s="2" t="str">
        <x:v>openclaw/openclaw</x:v>
      </x:c>
      <x:c r="C71" s="2" t="n">
        <x:v>118018</x:v>
      </x:c>
      <x:c r="D71" s="2" t="str">
        <x:v>C05</x:v>
      </x:c>
      <x:c r="E71" s="2" t="str">
        <x:v>F02</x:v>
      </x:c>
      <x:c r="F71" s="2" t="str">
        <x:v>F03</x:v>
      </x:c>
      <x:c r="G71" s="2" t="str">
        <x:v>F02</x:v>
      </x:c>
      <x:c r="H71" s="2" t="str">
        <x:v>Execution-flow and state correction</x:v>
      </x:c>
      <x:c r="I71" s="2" t="str">
        <x:v>Candidate change not merged</x:v>
      </x:c>
      <x:c r="J71" s="2" t="str">
        <x:v>The capture of the requestor's lifecycle is generated and sent to a pre-matched</x:v>
      </x:c>
      <x:c r="K71" s="2" t="str">
        <x:v>Capture and perpetuate lifecycle generations, then compare them to the current requesting party, rebuild intergenerational status attribution; disconnect refusal is a support. </x:v>
      </x:c>
      <x:c r="L71" s="2" t="str">
        <x:v>After computation, integrated retrieval: capture and sustain lifecycle generations, then compare with current requestors, reconstruct the generational status attribution; decline is ancillary.</x:v>
      </x:c>
      <x:c r="M71" s="2" t="str">
        <x:v>https://github.com/openclaw/openclaw/issues/118018</x:v>
      </x:c>
      <x:c r="N71" s="2" t="str">
        <x:v>F02</x:v>
      </x:c>
      <x:c r="O71" s="2" t="str">
        <x:v>Determinate from available evidence</x:v>
      </x:c>
    </x:row>
    <x:row r="72" ht="48.5" customHeight="1">
      <x:c r="A72" s="2" t="str">
        <x:v>R0254</x:v>
      </x:c>
      <x:c r="B72" s="2" t="str">
        <x:v>langgenius/dify</x:v>
      </x:c>
      <x:c r="C72" s="2" t="n">
        <x:v>5343</x:v>
      </x:c>
      <x:c r="D72" s="2" t="str">
        <x:v>C03</x:v>
      </x:c>
      <x:c r="E72" s="2" t="str">
        <x:v>U1</x:v>
      </x:c>
      <x:c r="F72" s="2" t="str">
        <x:v>U1</x:v>
      </x:c>
      <x:c r="G72" s="2" t="str">
        <x:v>F01</x:v>
      </x:c>
      <x:c r="H72" s="2" t="str">
        <x:v>Representation and usage-contract alignment</x:v>
      </x:c>
      <x:c r="I72" s="2" t="str">
        <x:v>Recorded as implemented in the source data</x:v>
      </x:c>
      <x:c r="J72" s="2" t="str">
        <x:v>Recommended action: Recommended to properly install uploaded image content into ReAct and chat agent model inputs.</x:v>
      </x:c>
      <x:c r="K72" s="2" t="str">
        <x:v>The goal of the fix is to upload image resolution, root cause explicitly omits model input assembly, and the nearest multi-module message indicates that it passes with parameters. This is an additional closest-fit assignment, not an established repair fact.</x:v>
      </x:c>
      <x:c r="L72" s="2" t="str">
        <x:v>One closest-fit strategy is selected as additionally requested.  The goal of the fix is to upload image resolution, root cause explicitly omits model input assembly, and the nearest multi-module message indicates that it passes with parameters. This is an additional closest-fit assignment, not an established repair fact.  The original evidence review is U1; this does not establish that a targeted repair has been verified.</x:v>
      </x:c>
      <x:c r="M72" s="2" t="str">
        <x:v>https://github.com/langgenius/dify/issues/5343</x:v>
      </x:c>
      <x:c r="N72" s="2" t="str">
        <x:v>U1</x:v>
      </x:c>
      <x:c r="O72" s="2" t="str">
        <x:v>Inferred from the primary root cause</x:v>
      </x:c>
    </x:row>
    <x:row r="73" ht="48.5" customHeight="1">
      <x:c r="A73" s="2" t="str">
        <x:v>R0256</x:v>
      </x:c>
      <x:c r="B73" s="2" t="str">
        <x:v>langgenius/dify</x:v>
      </x:c>
      <x:c r="C73" s="2" t="n">
        <x:v>5969</x:v>
      </x:c>
      <x:c r="D73" s="2" t="str">
        <x:v>C06</x:v>
      </x:c>
      <x:c r="E73" s="2" t="str">
        <x:v>F02</x:v>
      </x:c>
      <x:c r="F73" s="2" t="str">
        <x:v>U1</x:v>
      </x:c>
      <x:c r="G73" s="2" t="str">
        <x:v>F02</x:v>
      </x:c>
      <x:c r="H73" s="2" t="str">
        <x:v>Execution-flow and state correction</x:v>
      </x:c>
      <x:c r="I73" s="2" t="str">
        <x:v>Recorded as implemented in the source data</x:v>
      </x:c>
      <x:c r="J73" s="2" t="str">
        <x:v>Recommended Action: Recommended to refresh the local authorization status of the panel with a return configuration after successful saving.</x:v>
      </x:c>
      <x:c r="K73" s="2" t="str">
        <x:v>The abstract is explicitly aimed at data not refreshed after being saved, synchronized with the nearest front-end state, and does not represent a known specific attribution implementation. This is an additional closest-fit assignment, not an established repair fact.</x:v>
      </x:c>
      <x:c r="L73" s="2" t="str">
        <x:v>One closest-fit strategy is selected as additionally requested.  The abstract is explicitly aimed at data not refreshed after being saved, synchronized with the nearest front-end state, and does not represent a known specific attribution implementation. This is an additional closest-fit assignment, not an established repair fact.  The original evidence review is U1; this does not establish that a targeted repair has been verified.</x:v>
      </x:c>
      <x:c r="M73" s="2" t="str">
        <x:v>https://github.com/langgenius/dify/issues/5969</x:v>
      </x:c>
      <x:c r="N73" s="2" t="str">
        <x:v>U1</x:v>
      </x:c>
      <x:c r="O73" s="2" t="str">
        <x:v>Closest fit to the intent described in the summary</x:v>
      </x:c>
    </x:row>
    <x:row r="74" ht="48.5" customHeight="1">
      <x:c r="A74" s="2" t="str">
        <x:v>R0259</x:v>
      </x:c>
      <x:c r="B74" s="2" t="str">
        <x:v>langgenius/dify</x:v>
      </x:c>
      <x:c r="C74" s="2" t="n">
        <x:v>7687</x:v>
      </x:c>
      <x:c r="D74" s="2" t="str">
        <x:v>C17</x:v>
      </x:c>
      <x:c r="E74" s="2" t="str">
        <x:v>U1</x:v>
      </x:c>
      <x:c r="F74" s="2" t="str">
        <x:v>U1</x:v>
      </x:c>
      <x:c r="G74" s="2" t="str">
        <x:v>F02</x:v>
      </x:c>
      <x:c r="H74" s="2" t="str">
        <x:v>Execution-flow and state correction</x:v>
      </x:c>
      <x:c r="I74" s="2" t="str">
        <x:v>Recorded as implemented in the source data</x:v>
      </x:c>
      <x:c r="J74" s="2" t="str">
        <x:v>Recommended Action: Recommended to coordinate the timing and preparation of shared libraries to avoid using unstable temporary environments.</x:v>
      </x:c>
      <x:c r="K74" s="2" t="str">
        <x:v>Summary is clear Python Environment race condition ， root cause concurrency Shared library positioning, closest to initialization life cycle and concurrency Coordination.  This is an additional closest-fit assignment, not an established repair fact.</x:v>
      </x:c>
      <x:c r="L74" s="2" t="str">
        <x:v>One closest-fit strategy is selected as additionally requested.  Summary is clear Python Environment race condition ， root cause concurrency Shared library positioning, closest to initialization life cycle and concurrency Coordination.  This is an additional closest-fit assignment, not an established repair fact.  The original evidence review is U1; this does not establish that a targeted repair has been verified.</x:v>
      </x:c>
      <x:c r="M74" s="2" t="str">
        <x:v>https://github.com/langgenius/dify/issues/7687</x:v>
      </x:c>
      <x:c r="N74" s="2" t="str">
        <x:v>U1</x:v>
      </x:c>
      <x:c r="O74" s="2" t="str">
        <x:v>Closest fit to the intent described in the summary</x:v>
      </x:c>
    </x:row>
    <x:row r="75" ht="48.5" customHeight="1">
      <x:c r="A75" s="2" t="str">
        <x:v>R0266</x:v>
      </x:c>
      <x:c r="B75" s="2" t="str">
        <x:v>langgenius/dify</x:v>
      </x:c>
      <x:c r="C75" s="2" t="n">
        <x:v>10639</x:v>
      </x:c>
      <x:c r="D75" s="2" t="str">
        <x:v>C01</x:v>
      </x:c>
      <x:c r="E75" s="2" t="str">
        <x:v>U1</x:v>
      </x:c>
      <x:c r="F75" s="2" t="str">
        <x:v>U1</x:v>
      </x:c>
      <x:c r="G75" s="2" t="str">
        <x:v>F01</x:v>
      </x:c>
      <x:c r="H75" s="2" t="str">
        <x:v>Representation and usage-contract alignment</x:v>
      </x:c>
      <x:c r="I75" s="2" t="str">
        <x:v>Insufficient association evidence</x:v>
      </x:c>
      <x:c r="J75" s="2" t="str">
        <x:v>Recommended Action: Recommended to verify the response encoding and filing of the service, decoding with a consistent protocol and indicating the source of the error.</x:v>
      </x:c>
      <x:c r="K75" s="2" t="str">
        <x:v>The abstract unrelated model submission cannot be adopted; the closest to return format decoding agreement is based on authorization returning Base64 filling errors. This is an additional closest-fit assignment, not an established repair fact.</x:v>
      </x:c>
      <x:c r="L75" s="2" t="str">
        <x:v>One closest-fit strategy is selected as additionally requested.  The abstract unrelated model submission cannot be adopted; the closest to return format decoding agreement is based on authorization returning Base64 filling errors. This is an additional closest-fit assignment, not an established repair fact.  The original evidence review is U1; this does not establish that a targeted repair has been verified.</x:v>
      </x:c>
      <x:c r="M75" s="2" t="str">
        <x:v>https://github.com/langgenius/dify/issues/10639</x:v>
      </x:c>
      <x:c r="N75" s="2" t="str">
        <x:v>U1</x:v>
      </x:c>
      <x:c r="O75" s="2" t="str">
        <x:v>Inferred from the primary root cause</x:v>
      </x:c>
    </x:row>
    <x:row r="76" ht="48.5" customHeight="1">
      <x:c r="A76" s="2" t="str">
        <x:v>R0268</x:v>
      </x:c>
      <x:c r="B76" s="2" t="str">
        <x:v>langgenius/dify</x:v>
      </x:c>
      <x:c r="C76" s="2" t="n">
        <x:v>12168</x:v>
      </x:c>
      <x:c r="D76" s="2" t="str">
        <x:v>C03</x:v>
      </x:c>
      <x:c r="E76" s="2" t="str">
        <x:v>U1</x:v>
      </x:c>
      <x:c r="F76" s="2" t="str">
        <x:v>U1</x:v>
      </x:c>
      <x:c r="G76" s="2" t="str">
        <x:v>F01</x:v>
      </x:c>
      <x:c r="H76" s="2" t="str">
        <x:v>Representation and usage-contract alignment</x:v>
      </x:c>
      <x:c r="I76" s="2" t="str">
        <x:v>Recorded as implemented in the source data</x:v>
      </x:c>
      <x:c r="J76" s="2" t="str">
        <x:v>Recommended Action: Recommended to explicitly transmit credentials to runtime objects during custom tool test invocation.</x:v>
      </x:c>
      <x:c r="K76" s="2" t="str">
        <x:v>The test error headings do not indicate a single change, and according to the known runtime installation omission estimate the interface is most directly transmitted. This is an additional closest-fit assignment, not an established repair fact.</x:v>
      </x:c>
      <x:c r="L76" s="2" t="str">
        <x:v>One closest-fit strategy is selected as additionally requested.  The test error headings do not indicate a single change, and according to the known runtime installation omission estimate the interface is most directly transmitted. This is an additional closest-fit assignment, not an established repair fact.  The original evidence review is U1; this does not establish that a targeted repair has been verified.</x:v>
      </x:c>
      <x:c r="M76" s="2" t="str">
        <x:v>https://github.com/langgenius/dify/issues/12168</x:v>
      </x:c>
      <x:c r="N76" s="2" t="str">
        <x:v>U1</x:v>
      </x:c>
      <x:c r="O76" s="2" t="str">
        <x:v>Inferred from the primary root cause</x:v>
      </x:c>
    </x:row>
    <x:row r="77" ht="48.5" customHeight="1">
      <x:c r="A77" s="2" t="str">
        <x:v>R0272</x:v>
      </x:c>
      <x:c r="B77" s="2" t="str">
        <x:v>langgenius/dify</x:v>
      </x:c>
      <x:c r="C77" s="2" t="n">
        <x:v>15040</x:v>
      </x:c>
      <x:c r="D77" s="2" t="str">
        <x:v>C03</x:v>
      </x:c>
      <x:c r="E77" s="2" t="str">
        <x:v>U1</x:v>
      </x:c>
      <x:c r="F77" s="2" t="str">
        <x:v>U1</x:v>
      </x:c>
      <x:c r="G77" s="2" t="str">
        <x:v>F01</x:v>
      </x:c>
      <x:c r="H77" s="2" t="str">
        <x:v>Representation and usage-contract alignment</x:v>
      </x:c>
      <x:c r="I77" s="2" t="str">
        <x:v>Recorded as implemented in the source data</x:v>
      </x:c>
      <x:c r="J77" s="2" t="str">
        <x:v>Recommended Action: Recommended to pass runtime and session by plug-in interface and unify parameters defined.</x:v>
      </x:c>
      <x:c r="K77" s="2" t="str">
        <x:v>Could not close temporary folder: %s root cause as invoke Missing runtime/session Nearest invocation Field compacts completed.  This is an additional closest-fit assignment, not an established repair fact.</x:v>
      </x:c>
      <x:c r="L77" s="2" t="str">
        <x:v>One closest-fit strategy is selected as additionally requested.  Could not close temporary folder: %s root cause as invoke Missing runtime/session Nearest invocation Field compacts completed.  This is an additional closest-fit assignment, not an established repair fact.  The original evidence review is U1; this does not establish that a targeted repair has been verified.</x:v>
      </x:c>
      <x:c r="M77" s="2" t="str">
        <x:v>https://github.com/langgenius/dify/issues/15040</x:v>
      </x:c>
      <x:c r="N77" s="2" t="str">
        <x:v>U1</x:v>
      </x:c>
      <x:c r="O77" s="2" t="str">
        <x:v>Inferred from the primary root cause</x:v>
      </x:c>
    </x:row>
    <x:row r="78" ht="48.5" customHeight="1">
      <x:c r="A78" s="2" t="str">
        <x:v>R0273</x:v>
      </x:c>
      <x:c r="B78" s="2" t="str">
        <x:v>langgenius/dify</x:v>
      </x:c>
      <x:c r="C78" s="2" t="n">
        <x:v>15159</x:v>
      </x:c>
      <x:c r="D78" s="2" t="str">
        <x:v>C14</x:v>
      </x:c>
      <x:c r="E78" s="2" t="str">
        <x:v>U1</x:v>
      </x:c>
      <x:c r="F78" s="2" t="str">
        <x:v>U1</x:v>
      </x:c>
      <x:c r="G78" s="2" t="str">
        <x:v>F01</x:v>
      </x:c>
      <x:c r="H78" s="2" t="str">
        <x:v>Representation and usage-contract alignment</x:v>
      </x:c>
      <x:c r="I78" s="2" t="str">
        <x:v>Recorded as implemented in the source data</x:v>
      </x:c>
      <x:c r="J78" s="2" t="str">
        <x:v>Suggested actions (presumption): Recommendations text/xml response Process by text body instead of file object.</x:v>
      </x:c>
      <x:c r="K78" s="2" t="str">
        <x:v>The purpose of the abstract is to correct text/xml document judgments that are closest to response media classification and conversion agreements. This is an additional closest-fit assignment, not an established repair fact.</x:v>
      </x:c>
      <x:c r="L78" s="2" t="str">
        <x:v>One closest-fit strategy is selected as additionally requested.  The purpose of the abstract is to correct text/xml document judgments that are closest to response media classification and conversion agreements. This is an additional closest-fit assignment, not an established repair fact.  The original evidence review is U1; this does not establish that a targeted repair has been verified.</x:v>
      </x:c>
      <x:c r="M78" s="2" t="str">
        <x:v>https://github.com/langgenius/dify/issues/15159</x:v>
      </x:c>
      <x:c r="N78" s="2" t="str">
        <x:v>U1</x:v>
      </x:c>
      <x:c r="O78" s="2" t="str">
        <x:v>Closest fit to the intent described in the summary</x:v>
      </x:c>
    </x:row>
    <x:row r="79" ht="35" customHeight="1">
      <x:c r="A79" s="2" t="str">
        <x:v>R0279</x:v>
      </x:c>
      <x:c r="B79" s="2" t="str">
        <x:v>langgenius/dify</x:v>
      </x:c>
      <x:c r="C79" s="2" t="n">
        <x:v>16103</x:v>
      </x:c>
      <x:c r="D79" s="2" t="str">
        <x:v>C04</x:v>
      </x:c>
      <x:c r="E79" s="2" t="str">
        <x:v>U1</x:v>
      </x:c>
      <x:c r="F79" s="2" t="str">
        <x:v>F01</x:v>
      </x:c>
      <x:c r="G79" s="2" t="str">
        <x:v>F01</x:v>
      </x:c>
      <x:c r="H79" s="2" t="str">
        <x:v>Representation and usage-contract alignment</x:v>
      </x:c>
      <x:c r="I79" s="2" t="str">
        <x:v>Recorded as implemented in the source data</x:v>
      </x:c>
      <x:c r="J79" s="2" t="str">
        <x:v>tool suggests switching to Anthropic API</x:v>
      </x:c>
      <x:c r="K79" s="2" t="str">
        <x:v>tool explicitly suggests conversion to Anthropic API, with conversion object-target contracts; supports macro conversion strategies and cannot overwrite undefined schema fields.</x:v>
      </x:c>
      <x:c r="L79" s="2" t="str">
        <x:v>Calculated integrated retrospective: summary explicit tool prompt conversion to Anthropic API, with conversion object and target contract; supports macro conversion strategies and cannot overwrite unproven schema fields.</x:v>
      </x:c>
      <x:c r="M79" s="2" t="str">
        <x:v>https://github.com/langgenius/dify/issues/16103</x:v>
      </x:c>
      <x:c r="N79" s="2" t="str">
        <x:v>F01</x:v>
      </x:c>
      <x:c r="O79" s="2" t="str">
        <x:v>Determinate from available evidence</x:v>
      </x:c>
    </x:row>
    <x:row r="80" ht="48.5" customHeight="1">
      <x:c r="A80" s="2" t="str">
        <x:v>R0282</x:v>
      </x:c>
      <x:c r="B80" s="2" t="str">
        <x:v>langgenius/dify</x:v>
      </x:c>
      <x:c r="C80" s="2" t="n">
        <x:v>17012</x:v>
      </x:c>
      <x:c r="D80" s="2" t="str">
        <x:v>C19</x:v>
      </x:c>
      <x:c r="E80" s="2" t="str">
        <x:v>U1</x:v>
      </x:c>
      <x:c r="F80" s="2" t="str">
        <x:v>U1</x:v>
      </x:c>
      <x:c r="G80" s="2" t="str">
        <x:v>F01</x:v>
      </x:c>
      <x:c r="H80" s="2" t="str">
        <x:v>Representation and usage-contract alignment</x:v>
      </x:c>
      <x:c r="I80" s="2" t="str">
        <x:v>Recorded as implemented in the source data</x:v>
      </x:c>
      <x:c r="J80" s="2" t="str">
        <x:v>Recommended Action: Recommended to complement and pass through the selector's stream-tool-call citations.</x:v>
      </x:c>
      <x:c r="K80" s="2" t="str">
        <x:v>The abstract goal is to restore stream-tool-call optional capabilities that are closest to listing and configuration representations. This is an additional closest-fit assignment, not an established repair fact.</x:v>
      </x:c>
      <x:c r="L80" s="2" t="str">
        <x:v>One closest-fit strategy is selected as additionally requested.  The abstract goal is to restore stream-tool-call optional capabilities that are closest to listing and configuration representations. This is an additional closest-fit assignment, not an established repair fact.  The original evidence review is U1; this does not establish that a targeted repair has been verified.</x:v>
      </x:c>
      <x:c r="M80" s="2" t="str">
        <x:v>https://github.com/langgenius/dify/issues/17012</x:v>
      </x:c>
      <x:c r="N80" s="2" t="str">
        <x:v>U1</x:v>
      </x:c>
      <x:c r="O80" s="2" t="str">
        <x:v>Closest fit to the intent described in the summary</x:v>
      </x:c>
    </x:row>
    <x:row r="81" ht="48.5" customHeight="1">
      <x:c r="A81" s="2" t="str">
        <x:v>R0286</x:v>
      </x:c>
      <x:c r="B81" s="2" t="str">
        <x:v>langgenius/dify</x:v>
      </x:c>
      <x:c r="C81" s="2" t="n">
        <x:v>18276</x:v>
      </x:c>
      <x:c r="D81" s="2" t="str">
        <x:v>C20</x:v>
      </x:c>
      <x:c r="E81" s="2" t="str">
        <x:v>U1</x:v>
      </x:c>
      <x:c r="F81" s="2" t="str">
        <x:v>U1</x:v>
      </x:c>
      <x:c r="G81" s="2" t="str">
        <x:v>F02</x:v>
      </x:c>
      <x:c r="H81" s="2" t="str">
        <x:v>Execution-flow and state correction</x:v>
      </x:c>
      <x:c r="I81" s="2" t="str">
        <x:v>Insufficient association evidence</x:v>
      </x:c>
      <x:c r="J81" s="2" t="str">
        <x:v>Recommended Action: Recommended to schedule the first part, then bottle down the repetition and calibrate the execution budget.</x:v>
      </x:c>
      <x:c r="K81" s="2" t="str">
        <x:v>invocation performance is slow and there is no relevant action, budget and resource regulation governance are recommended to be carried out by the tool continuously, and confidence levels are low. This is an additional closest-fit assignment, not an established repair fact.</x:v>
      </x:c>
      <x:c r="L81" s="2" t="str">
        <x:v>One closest-fit strategy is selected as additionally requested.  invocation performance is slow and there is no relevant action, budget and resource regulation governance are recommended to be carried out by the tool continuously, and confidence levels are low. This is an additional closest-fit assignment, not an established repair fact.  The original evidence review is U1; this does not establish that a targeted repair has been verified.</x:v>
      </x:c>
      <x:c r="M81" s="2" t="str">
        <x:v>https://github.com/langgenius/dify/issues/18276</x:v>
      </x:c>
      <x:c r="N81" s="2" t="str">
        <x:v>U1</x:v>
      </x:c>
      <x:c r="O81" s="2" t="str">
        <x:v>Inferred from the primary root cause</x:v>
      </x:c>
    </x:row>
    <x:row r="82" ht="48.5" customHeight="1">
      <x:c r="A82" s="2" t="str">
        <x:v>R0296</x:v>
      </x:c>
      <x:c r="B82" s="2" t="str">
        <x:v>langgenius/dify</x:v>
      </x:c>
      <x:c r="C82" s="2" t="n">
        <x:v>20719</x:v>
      </x:c>
      <x:c r="D82" s="2" t="str">
        <x:v>C11</x:v>
      </x:c>
      <x:c r="E82" s="2" t="str">
        <x:v>U1</x:v>
      </x:c>
      <x:c r="F82" s="2" t="str">
        <x:v>U1</x:v>
      </x:c>
      <x:c r="G82" s="2" t="str">
        <x:v>F02</x:v>
      </x:c>
      <x:c r="H82" s="2" t="str">
        <x:v>Execution-flow and state correction</x:v>
      </x:c>
      <x:c r="I82" s="2" t="str">
        <x:v>Recorded as implemented in the source data</x:v>
      </x:c>
      <x:c r="J82" s="2" t="str">
        <x:v>Recommended Action: Recommended to save and bind the context session of the associated user before sending parallel work.</x:v>
      </x:c>
      <x:c r="K82" s="2" t="str">
        <x:v>Summary Clearly targeted at parallel user access failures, closest to parallel execution of context transmission synchronized with scope.  This is an additional closest-fit assignment, not an established repair fact.</x:v>
      </x:c>
      <x:c r="L82" s="2" t="str">
        <x:v>One closest-fit strategy is selected as additionally requested.  Summary Clearly targeted at parallel user access failures, closest to parallel execution of context transmission synchronized with scope.  This is an additional closest-fit assignment, not an established repair fact.  The original evidence review is U1; this does not establish that a targeted repair has been verified.</x:v>
      </x:c>
      <x:c r="M82" s="2" t="str">
        <x:v>https://github.com/langgenius/dify/issues/20719</x:v>
      </x:c>
      <x:c r="N82" s="2" t="str">
        <x:v>U1</x:v>
      </x:c>
      <x:c r="O82" s="2" t="str">
        <x:v>Closest fit to the intent described in the summary</x:v>
      </x:c>
    </x:row>
    <x:row r="83" ht="48.5" customHeight="1">
      <x:c r="A83" s="2" t="str">
        <x:v>R0299</x:v>
      </x:c>
      <x:c r="B83" s="2" t="str">
        <x:v>langgenius/dify</x:v>
      </x:c>
      <x:c r="C83" s="2" t="n">
        <x:v>23082</x:v>
      </x:c>
      <x:c r="D83" s="2" t="str">
        <x:v>C12</x:v>
      </x:c>
      <x:c r="E83" s="2" t="str">
        <x:v>F01</x:v>
      </x:c>
      <x:c r="F83" s="2" t="str">
        <x:v>U1</x:v>
      </x:c>
      <x:c r="G83" s="2" t="str">
        <x:v>F01</x:v>
      </x:c>
      <x:c r="H83" s="2" t="str">
        <x:v>Representation and usage-contract alignment</x:v>
      </x:c>
      <x:c r="I83" s="2" t="str">
        <x:v>Recorded as implemented in the source data</x:v>
      </x:c>
      <x:c r="J83" s="2" t="str">
        <x:v>Recommended action: Recommended to bind with null merger instead of true fallback, retaining 0.</x:v>
      </x:c>
      <x:c r="K83" s="2" t="str">
        <x:v>Summary The clear goal is to show the legal digit zero, closest to the value semantics, and not illegal entry denial. This is an additional closest-fit assignment, not an established repair fact.</x:v>
      </x:c>
      <x:c r="L83" s="2" t="str">
        <x:v>One closest-fit strategy is selected as additionally requested.  Summary The clear goal is to show the legal digit zero, closest to the value semantics, and not illegal entry denial. This is an additional closest-fit assignment, not an established repair fact.  The original evidence review is U1; this does not establish that a targeted repair has been verified.</x:v>
      </x:c>
      <x:c r="M83" s="2" t="str">
        <x:v>https://github.com/langgenius/dify/issues/23082</x:v>
      </x:c>
      <x:c r="N83" s="2" t="str">
        <x:v>U1</x:v>
      </x:c>
      <x:c r="O83" s="2" t="str">
        <x:v>Closest fit to the intent described in the summary</x:v>
      </x:c>
    </x:row>
    <x:row r="84" ht="48.5" customHeight="1">
      <x:c r="A84" s="2" t="str">
        <x:v>R0305</x:v>
      </x:c>
      <x:c r="B84" s="2" t="str">
        <x:v>langgenius/dify</x:v>
      </x:c>
      <x:c r="C84" s="2" t="n">
        <x:v>24598</x:v>
      </x:c>
      <x:c r="D84" s="2" t="str">
        <x:v>C24</x:v>
      </x:c>
      <x:c r="E84" s="2" t="str">
        <x:v>U1</x:v>
      </x:c>
      <x:c r="F84" s="2" t="str">
        <x:v>F02</x:v>
      </x:c>
      <x:c r="G84" s="2" t="str">
        <x:v>F02</x:v>
      </x:c>
      <x:c r="H84" s="2" t="str">
        <x:v>Execution-flow and state correction</x:v>
      </x:c>
      <x:c r="I84" s="2" t="str">
        <x:v>Recorded as implemented in the source data</x:v>
      </x:c>
      <x:c r="J84" s="2" t="str">
        <x:v>Recommended action: Recommended to obtain the required user metrics during a valid session and then pass on to the generating process.</x:v>
      </x:c>
      <x:c r="K84" s="2" t="str">
        <x:v>Abstract Objective: Clearly avoid off-season ORM access, closest to database object lifecycle management; specific caching metrics or session extensions are not disclosed.  This is an additional closest-fit assignment, not an established repair fact.</x:v>
      </x:c>
      <x:c r="L84" s="2" t="str">
        <x:v>One closest-fit strategy is selected as additionally requested.  Abstract Objective: Clearly avoid off-season ORM access, closest to database object lifecycle management; specific caching metrics or session extensions are not disclosed.  This is an additional closest-fit assignment, not an established repair fact.  The original evidence review is U1; this does not establish that a targeted repair has been verified.</x:v>
      </x:c>
      <x:c r="M84" s="2" t="str">
        <x:v>https://github.com/langgenius/dify/issues/24598</x:v>
      </x:c>
      <x:c r="N84" s="2" t="str">
        <x:v>U1</x:v>
      </x:c>
      <x:c r="O84" s="2" t="str">
        <x:v>Closest fit to the intent described in the summary</x:v>
      </x:c>
    </x:row>
    <x:row r="85" ht="48.5" customHeight="1">
      <x:c r="A85" s="2" t="str">
        <x:v>R0317</x:v>
      </x:c>
      <x:c r="B85" s="2" t="str">
        <x:v>langgenius/dify</x:v>
      </x:c>
      <x:c r="C85" s="2" t="n">
        <x:v>28491</x:v>
      </x:c>
      <x:c r="D85" s="2" t="str">
        <x:v>C04</x:v>
      </x:c>
      <x:c r="E85" s="2" t="str">
        <x:v>U1</x:v>
      </x:c>
      <x:c r="F85" s="2" t="str">
        <x:v>U1</x:v>
      </x:c>
      <x:c r="G85" s="2" t="str">
        <x:v>F01</x:v>
      </x:c>
      <x:c r="H85" s="2" t="str">
        <x:v>Representation and usage-contract alignment</x:v>
      </x:c>
      <x:c r="I85" s="2" t="str">
        <x:v>Insufficient association evidence</x:v>
      </x:c>
      <x:c r="J85" s="2" t="str">
        <x:v>Recommended Action: Recommended to merge the complete JSON and then do a downstream analysis by tool invocation boundary.</x:v>
      </x:c>
      <x:c r="K85" s="2" t="str">
        <x:v>time tool Quote &amp; Fluid JSON irrelevant; existing malfunctions are incomplete or mixed JSON, closest to flow protocol assembly.  This is an additional closest-fit assignment, not an established repair fact.</x:v>
      </x:c>
      <x:c r="L85" s="2" t="str">
        <x:v>One closest-fit strategy is selected as additionally requested.  time tool Quote &amp; Fluid JSON irrelevant; existing malfunctions are incomplete or mixed JSON, closest to flow protocol assembly.  This is an additional closest-fit assignment, not an established repair fact.  The original evidence review is U1; this does not establish that a targeted repair has been verified.</x:v>
      </x:c>
      <x:c r="M85" s="2" t="str">
        <x:v>https://github.com/langgenius/dify/issues/28491</x:v>
      </x:c>
      <x:c r="N85" s="2" t="str">
        <x:v>U1</x:v>
      </x:c>
      <x:c r="O85" s="2" t="str">
        <x:v>Inferred from the primary root cause</x:v>
      </x:c>
    </x:row>
    <x:row r="86" ht="48.5" customHeight="1">
      <x:c r="A86" s="2" t="str">
        <x:v>R0328</x:v>
      </x:c>
      <x:c r="B86" s="2" t="str">
        <x:v>langgenius/dify</x:v>
      </x:c>
      <x:c r="C86" s="2" t="n">
        <x:v>34446</x:v>
      </x:c>
      <x:c r="D86" s="2" t="str">
        <x:v>C11</x:v>
      </x:c>
      <x:c r="E86" s="2" t="str">
        <x:v>U1</x:v>
      </x:c>
      <x:c r="F86" s="2" t="str">
        <x:v>U1</x:v>
      </x:c>
      <x:c r="G86" s="2" t="str">
        <x:v>F02</x:v>
      </x:c>
      <x:c r="H86" s="2" t="str">
        <x:v>Execution-flow and state correction</x:v>
      </x:c>
      <x:c r="I86" s="2" t="str">
        <x:v>Insufficient association evidence</x:v>
      </x:c>
      <x:c r="J86" s="2" t="str">
        <x:v>Suggested action (presumption): Waiting Skill tool It's finished refilling and then it's terminated Agent Node and submit final text</x:v>
      </x:c>
      <x:c r="K86" s="2" t="str">
        <x:v>The fixed main root cause is first that the tool result has not been fully replenished, and then that it needs to be reconstructed in order of completion and progression of the output of the text; supplementing content is another related flaw. Closest-fit inference only.</x:v>
      </x:c>
      <x:c r="L86" s="2" t="str">
        <x:v>One closest-fit strategy is selected as additionally requested.  The fixed main root cause is first that the tool result has not been fully replenished, and then that it needs to be reconstructed in order of completion and progression of the output of the text; supplementing content is another related flaw. Closest-fit inference only.  The original evidence review is U1; this does not establish that a targeted repair has been verified.</x:v>
      </x:c>
      <x:c r="M86" s="2" t="str">
        <x:v>https://github.com/langgenius/dify/issues/34446</x:v>
      </x:c>
      <x:c r="N86" s="2" t="str">
        <x:v>U1</x:v>
      </x:c>
      <x:c r="O86" s="2" t="str">
        <x:v>Inferred from the primary root cause</x:v>
      </x:c>
    </x:row>
    <x:row r="87" ht="48.5" customHeight="1">
      <x:c r="A87" s="2" t="str">
        <x:v>R0337</x:v>
      </x:c>
      <x:c r="B87" s="2" t="str">
        <x:v>langgenius/dify</x:v>
      </x:c>
      <x:c r="C87" s="2" t="n">
        <x:v>42388</x:v>
      </x:c>
      <x:c r="D87" s="2" t="str">
        <x:v>C06</x:v>
      </x:c>
      <x:c r="E87" s="2" t="str">
        <x:v>U1</x:v>
      </x:c>
      <x:c r="F87" s="2" t="str">
        <x:v>F02</x:v>
      </x:c>
      <x:c r="G87" s="2" t="str">
        <x:v>F02</x:v>
      </x:c>
      <x:c r="H87" s="2" t="str">
        <x:v>Execution-flow and state correction</x:v>
      </x:c>
      <x:c r="I87" s="2" t="str">
        <x:v>Recorded as implemented in the source data</x:v>
      </x:c>
      <x:c r="J87" s="2" t="str">
        <x:v>Recommended action: Remove the old status of the default and refresh the relevant query, allowing the same name to be added again.</x:v>
      </x:c>
      <x:c r="K87" s="2" t="str">
        <x:v>Abstract has Skill removing recruitment and query strategy adjustment targets, closest to management status failures and rediscovery.  This is an additional closest-fit assignment, not an established repair fact.</x:v>
      </x:c>
      <x:c r="L87" s="2" t="str">
        <x:v>One closest-fit strategy is selected as additionally requested.  Abstract has Skill removing recruitment and query strategy adjustment targets, closest to management status failures and rediscovery.  This is an additional closest-fit assignment, not an established repair fact.  The original evidence review is U1; this does not establish that a targeted repair has been verified.</x:v>
      </x:c>
      <x:c r="M87" s="2" t="str">
        <x:v>https://github.com/langgenius/dify/issues/42388</x:v>
      </x:c>
      <x:c r="N87" s="2" t="str">
        <x:v>U1</x:v>
      </x:c>
      <x:c r="O87" s="2" t="str">
        <x:v>Closest fit to the intent described in the summary</x:v>
      </x:c>
    </x:row>
    <x:row r="88" ht="48.5" customHeight="1">
      <x:c r="A88" s="2" t="str">
        <x:v>R0341</x:v>
      </x:c>
      <x:c r="B88" s="2" t="str">
        <x:v>open-webui/open-webui</x:v>
      </x:c>
      <x:c r="C88" s="2" t="n">
        <x:v>12705</x:v>
      </x:c>
      <x:c r="D88" s="2" t="str">
        <x:v>C08</x:v>
      </x:c>
      <x:c r="E88" s="2" t="str">
        <x:v>U1</x:v>
      </x:c>
      <x:c r="F88" s="2" t="str">
        <x:v>U1</x:v>
      </x:c>
      <x:c r="G88" s="2" t="str">
        <x:v>F02</x:v>
      </x:c>
      <x:c r="H88" s="2" t="str">
        <x:v>Execution-flow and state correction</x:v>
      </x:c>
      <x:c r="I88" s="2" t="str">
        <x:v>Recorded as implemented in the source data</x:v>
      </x:c>
      <x:c r="J88" s="2" t="str">
        <x:v>Recommended action: It is recommended to inject RAG templates only when the tool needs document context for this time. </x:v>
      </x:c>
      <x:c r="K88" s="2" t="str">
        <x:v>The refac headline has no specific action, and the root cause recommends that context select process corrections by injecting RAG unconditionally. This is an additional closest-fit assignment, not an established repair fact.</x:v>
      </x:c>
      <x:c r="L88" s="2" t="str">
        <x:v>One closest-fit strategy is selected as additionally requested.  The refac headline has no specific action, and the root cause recommends that context select process corrections by injecting RAG unconditionally. This is an additional closest-fit assignment, not an established repair fact.  The original evidence review is U1; this does not establish that a targeted repair has been verified.</x:v>
      </x:c>
      <x:c r="M88" s="2" t="str">
        <x:v>https://github.com/open-webui/open-webui/issues/12705</x:v>
      </x:c>
      <x:c r="N88" s="2" t="str">
        <x:v>U1</x:v>
      </x:c>
      <x:c r="O88" s="2" t="str">
        <x:v>Inferred from the primary root cause</x:v>
      </x:c>
    </x:row>
    <x:row r="89" ht="48.5" customHeight="1">
      <x:c r="A89" s="2" t="str">
        <x:v>R0359</x:v>
      </x:c>
      <x:c r="B89" s="2" t="str">
        <x:v>open-webui/open-webui</x:v>
      </x:c>
      <x:c r="C89" s="2" t="n">
        <x:v>20237</x:v>
      </x:c>
      <x:c r="D89" s="2" t="str">
        <x:v>C03</x:v>
      </x:c>
      <x:c r="E89" s="2" t="str">
        <x:v>U1</x:v>
      </x:c>
      <x:c r="F89" s="2" t="str">
        <x:v>U1</x:v>
      </x:c>
      <x:c r="G89" s="2" t="str">
        <x:v>F01</x:v>
      </x:c>
      <x:c r="H89" s="2" t="str">
        <x:v>Representation and usage-contract alignment</x:v>
      </x:c>
      <x:c r="I89" s="2" t="str">
        <x:v>Recorded as implemented in the source data</x:v>
      </x:c>
      <x:c r="J89" s="2" t="str">
        <x:v>Recommended action: Recommended to carry uploaded image information and send editing requests to edit endpoints.</x:v>
      </x:c>
      <x:c r="K89" s="2" t="str">
        <x:v>abstract explicitly uploads image editing objectives, root cause misplaces the output endpoint for the leaked raw graph and aligns the nearest request field with API semantics.  This is an additional closest-fit assignment, not an established repair fact.</x:v>
      </x:c>
      <x:c r="L89" s="2" t="str">
        <x:v>One closest-fit strategy is selected as additionally requested.  abstract explicitly uploads image editing objectives, root cause misplaces the output endpoint for the leaked raw graph and aligns the nearest request field with API semantics.  This is an additional closest-fit assignment, not an established repair fact.  The original evidence review is U1; this does not establish that a targeted repair has been verified.</x:v>
      </x:c>
      <x:c r="M89" s="2" t="str">
        <x:v>https://github.com/open-webui/open-webui/issues/20237</x:v>
      </x:c>
      <x:c r="N89" s="2" t="str">
        <x:v>U1</x:v>
      </x:c>
      <x:c r="O89" s="2" t="str">
        <x:v>Inferred from the primary root cause</x:v>
      </x:c>
    </x:row>
    <x:row r="90" ht="48.5" customHeight="1">
      <x:c r="A90" s="2" t="str">
        <x:v>R0369</x:v>
      </x:c>
      <x:c r="B90" s="2" t="str">
        <x:v>open-webui/open-webui</x:v>
      </x:c>
      <x:c r="C90" s="2" t="n">
        <x:v>23668</x:v>
      </x:c>
      <x:c r="D90" s="2" t="str">
        <x:v>C16</x:v>
      </x:c>
      <x:c r="E90" s="2" t="str">
        <x:v>U1</x:v>
      </x:c>
      <x:c r="F90" s="2" t="str">
        <x:v>F01</x:v>
      </x:c>
      <x:c r="G90" s="2" t="str">
        <x:v>F02</x:v>
      </x:c>
      <x:c r="H90" s="2" t="str">
        <x:v>Execution-flow and state correction</x:v>
      </x:c>
      <x:c r="I90" s="2" t="str">
        <x:v>Insufficient association evidence</x:v>
      </x:c>
      <x:c r="J90" s="2" t="str">
        <x:v>Recommended action: Recommended to specify the priorities of custom scope, resource metadata and authorization server default scope.</x:v>
      </x:c>
      <x:c r="K90" s="2" t="str">
        <x:v>Summary explicitly converted to resource metadata scope, closest to the configuration source selection; manager custom values are still unsupported.  This is an additional closest-fit assignment, not an established repair fact.</x:v>
      </x:c>
      <x:c r="L90" s="2" t="str">
        <x:v>One closest-fit strategy is selected as additionally requested.  Summary explicitly converted to resource metadata scope, closest to the configuration source selection; manager custom values are still unsupported.  This is an additional closest-fit assignment, not an established repair fact.  The original evidence review is U1; this does not establish that a targeted repair has been verified.</x:v>
      </x:c>
      <x:c r="M90" s="2" t="str">
        <x:v>https://github.com/open-webui/open-webui/issues/23668</x:v>
      </x:c>
      <x:c r="N90" s="2" t="str">
        <x:v>U1</x:v>
      </x:c>
      <x:c r="O90" s="2" t="str">
        <x:v>Closest fit to the intent described in the summary</x:v>
      </x:c>
    </x:row>
    <x:row r="91" ht="48.5" customHeight="1">
      <x:c r="A91" s="2" t="str">
        <x:v>R0372</x:v>
      </x:c>
      <x:c r="B91" s="2" t="str">
        <x:v>open-webui/open-webui</x:v>
      </x:c>
      <x:c r="C91" s="2" t="n">
        <x:v>24163</x:v>
      </x:c>
      <x:c r="D91" s="2" t="str">
        <x:v>C16</x:v>
      </x:c>
      <x:c r="E91" s="2" t="str">
        <x:v>U1</x:v>
      </x:c>
      <x:c r="F91" s="2" t="str">
        <x:v>U1</x:v>
      </x:c>
      <x:c r="G91" s="2" t="str">
        <x:v>F02</x:v>
      </x:c>
      <x:c r="H91" s="2" t="str">
        <x:v>Execution-flow and state correction</x:v>
      </x:c>
      <x:c r="I91" s="2" t="str">
        <x:v>Insufficient association evidence</x:v>
      </x:c>
      <x:c r="J91" s="2" t="str">
        <x:v>Recommended action: Recommended to switch from persistent configuration initialization capability and save unmodified fields.</x:v>
      </x:c>
      <x:c r="K91" s="2" t="str">
        <x:v>Abstract only config.py row numbers, root cause recommended state hydration and preservation synchronized by the default value of the form covering DB.  This is an additional closest-fit assignment, not an established repair fact.</x:v>
      </x:c>
      <x:c r="L91" s="2" t="str">
        <x:v>One closest-fit strategy is selected as additionally requested.  Abstract only config.py row numbers, root cause recommended state hydration and preservation synchronized by the default value of the form covering DB.  This is an additional closest-fit assignment, not an established repair fact.  The original evidence review is U1; this does not establish that a targeted repair has been verified.</x:v>
      </x:c>
      <x:c r="M91" s="2" t="str">
        <x:v>https://github.com/open-webui/open-webui/issues/24163</x:v>
      </x:c>
      <x:c r="N91" s="2" t="str">
        <x:v>U1</x:v>
      </x:c>
      <x:c r="O91" s="2" t="str">
        <x:v>Inferred from the primary root cause</x:v>
      </x:c>
    </x:row>
    <x:row r="92" ht="35" customHeight="1">
      <x:c r="A92" s="2" t="str">
        <x:v>R0382</x:v>
      </x:c>
      <x:c r="B92" s="2" t="str">
        <x:v>open-webui/open-webui</x:v>
      </x:c>
      <x:c r="C92" s="2" t="n">
        <x:v>27081</x:v>
      </x:c>
      <x:c r="D92" s="2" t="str">
        <x:v>C01</x:v>
      </x:c>
      <x:c r="E92" s="2" t="str">
        <x:v>F03</x:v>
      </x:c>
      <x:c r="F92" s="2" t="str">
        <x:v>F01</x:v>
      </x:c>
      <x:c r="G92" s="2" t="str">
        <x:v>F03</x:v>
      </x:c>
      <x:c r="H92" s="2" t="str">
        <x:v>Validation and failure-path hardening</x:v>
      </x:c>
      <x:c r="I92" s="2" t="str">
        <x:v>Recorded as implemented in the source data</x:v>
      </x:c>
      <x:c r="J92" s="2" t="str">
        <x:v>Reserving the code base after checking and deleting the proxy characters</x:v>
      </x:c>
      <x:c r="K92" s="2" t="str">
        <x:v>Adding detection, removal and coding to the base of a nationwide illegal proxy character cleans the input boundary, not the normal code conversion. </x:v>
      </x:c>
      <x:c r="L92" s="2" t="str">
        <x:v>After computation, integrated backchecking: Adding detection, deletion and coding basics for illegal proxy characters across the country, cleansing the input boundary, not converting the normal code. </x:v>
      </x:c>
      <x:c r="M92" s="2" t="str">
        <x:v>https://github.com/open-webui/open-webui/issues/27081</x:v>
      </x:c>
      <x:c r="N92" s="2" t="str">
        <x:v>F03</x:v>
      </x:c>
      <x:c r="O92" s="2" t="str">
        <x:v>Determinate from available evidence</x:v>
      </x:c>
    </x:row>
    <x:row r="93" ht="35" customHeight="1">
      <x:c r="A93" s="2" t="str">
        <x:v>R0391</x:v>
      </x:c>
      <x:c r="B93" s="2" t="str">
        <x:v>earendil-works/pi</x:v>
      </x:c>
      <x:c r="C93" s="2" t="n">
        <x:v>128</x:v>
      </x:c>
      <x:c r="D93" s="2" t="str">
        <x:v>C20</x:v>
      </x:c>
      <x:c r="E93" s="2" t="str">
        <x:v>F03</x:v>
      </x:c>
      <x:c r="F93" s="2" t="str">
        <x:v>F02</x:v>
      </x:c>
      <x:c r="G93" s="2" t="str">
        <x:v>F02</x:v>
      </x:c>
      <x:c r="H93" s="2" t="str">
        <x:v>Execution-flow and state correction</x:v>
      </x:c>
      <x:c r="I93" s="2" t="str">
        <x:v>Partial coverage</x:v>
      </x:c>
      <x:c r="J93" s="2" t="str">
        <x:v>Increased overflow detection and tool output interruption</x:v>
      </x:c>
      <x:c r="K93" s="2" t="str">
        <x:v>Interrupting tool output, compressing continue together constitutes running budget and recovery progression; not proving that the cut point algorithm has been modified, retaining partial coverage.</x:v>
      </x:c>
      <x:c r="L93" s="2" t="str">
        <x:v>After computing integrated backchecks: interrupted tool output; compressed continue combines operating budget and recovery progression; unproven cut point algorithm modification, retaining some coverage.</x:v>
      </x:c>
      <x:c r="M93" s="2" t="str">
        <x:v>https://github.com/earendil-works/pi/issues/128</x:v>
      </x:c>
      <x:c r="N93" s="2" t="str">
        <x:v>F02</x:v>
      </x:c>
      <x:c r="O93" s="2" t="str">
        <x:v>Determinate from available evidence</x:v>
      </x:c>
    </x:row>
    <x:row r="94" ht="48.5" customHeight="1">
      <x:c r="A94" s="2" t="str">
        <x:v>R0392</x:v>
      </x:c>
      <x:c r="B94" s="2" t="str">
        <x:v>earendil-works/pi</x:v>
      </x:c>
      <x:c r="C94" s="2" t="n">
        <x:v>143</x:v>
      </x:c>
      <x:c r="D94" s="2" t="str">
        <x:v>C22</x:v>
      </x:c>
      <x:c r="E94" s="2" t="str">
        <x:v>F01</x:v>
      </x:c>
      <x:c r="F94" s="2" t="str">
        <x:v>F01</x:v>
      </x:c>
      <x:c r="G94" s="2" t="str">
        <x:v>F01</x:v>
      </x:c>
      <x:c r="H94" s="2" t="str">
        <x:v>Representation and usage-contract alignment</x:v>
      </x:c>
      <x:c r="I94" s="2" t="str">
        <x:v>Partial coverage</x:v>
      </x:c>
      <x:c r="J94" s="2" t="str">
        <x:v>Recommended action: alignment models show tool names, interface descriptions and invocation prompts, and explicitly indicate unsupported apply_patch inputs</x:v>
      </x:c>
      <x:c r="K94" s="2" t="str">
        <x:v>The model should be wrongly accepted tool Calibration Model Visible tool List and invocation (a) The agreement; xhigh That's not the way to fill the slots root cause Repairs.  Only the closest estimate does not claim to completely eliminate model hallucination.</x:v>
      </x:c>
      <x:c r="L94" s="2" t="str">
        <x:v>One closest-fit strategy is selected as additionally requested.  The model should be wrongly accepted tool Calibration Model Visible tool List and invocation (a) The agreement; xhigh That's not the way to fill the slots root cause Repairs.  Only the closest estimate does not claim to completely eliminate model hallucination.  The original evidence review is U1; this does not establish that a targeted repair has been verified.</x:v>
      </x:c>
      <x:c r="M94" s="2" t="str">
        <x:v>https://github.com/earendil-works/pi/issues/143</x:v>
      </x:c>
      <x:c r="N94" s="2" t="str">
        <x:v>U1</x:v>
      </x:c>
      <x:c r="O94" s="2" t="str">
        <x:v>Inferred from the primary root cause</x:v>
      </x:c>
    </x:row>
    <x:row r="95" ht="48.5" customHeight="1">
      <x:c r="A95" s="2" t="str">
        <x:v>R0417</x:v>
      </x:c>
      <x:c r="B95" s="2" t="str">
        <x:v>earendil-works/pi</x:v>
      </x:c>
      <x:c r="C95" s="2" t="n">
        <x:v>4226</x:v>
      </x:c>
      <x:c r="D95" s="2" t="str">
        <x:v>C02</x:v>
      </x:c>
      <x:c r="E95" s="2" t="str">
        <x:v>U1</x:v>
      </x:c>
      <x:c r="F95" s="2" t="str">
        <x:v>U1</x:v>
      </x:c>
      <x:c r="G95" s="2" t="str">
        <x:v>F01</x:v>
      </x:c>
      <x:c r="H95" s="2" t="str">
        <x:v>Representation and usage-contract alignment</x:v>
      </x:c>
      <x:c r="I95" s="2" t="str">
        <x:v>Insufficient association evidence</x:v>
      </x:c>
      <x:c r="J95" s="2" t="str">
        <x:v>Recommended action: Recommended to retain the native type of Bull numbers instead of stringing in third-party MCP adaptation layers.</x:v>
      </x:c>
      <x:c r="K95" s="2" t="str">
        <x:v>Summary References are not relevant, the estimated parameters of a report stringing the original values according to a third-party adapter indicate correction.  This is an additional closest-fit assignment, not an established repair fact.</x:v>
      </x:c>
      <x:c r="L95" s="2" t="str">
        <x:v>One closest-fit strategy is selected as additionally requested.  Summary References are not relevant, the estimated parameters of a report stringing the original values according to a third-party adapter indicate correction.  This is an additional closest-fit assignment, not an established repair fact.  The original evidence review is U1; this does not establish that a targeted repair has been verified.</x:v>
      </x:c>
      <x:c r="M95" s="2" t="str">
        <x:v>https://github.com/earendil-works/pi/issues/4226</x:v>
      </x:c>
      <x:c r="N95" s="2" t="str">
        <x:v>U1</x:v>
      </x:c>
      <x:c r="O95" s="2" t="str">
        <x:v>Inferred from the primary root cause</x:v>
      </x:c>
    </x:row>
    <x:row r="96" ht="35" customHeight="1">
      <x:c r="A96" s="2" t="str">
        <x:v>R0443</x:v>
      </x:c>
      <x:c r="B96" s="2" t="str">
        <x:v>earendil-works/pi</x:v>
      </x:c>
      <x:c r="C96" s="2" t="n">
        <x:v>7782</x:v>
      </x:c>
      <x:c r="D96" s="2" t="str">
        <x:v>C02</x:v>
      </x:c>
      <x:c r="E96" s="2" t="str">
        <x:v>F03</x:v>
      </x:c>
      <x:c r="F96" s="2" t="str">
        <x:v>F01</x:v>
      </x:c>
      <x:c r="G96" s="2" t="str">
        <x:v>F01</x:v>
      </x:c>
      <x:c r="H96" s="2" t="str">
        <x:v>Representation and usage-contract alignment</x:v>
      </x:c>
      <x:c r="I96" s="2" t="str">
        <x:v>Recorded as implemented in the source data</x:v>
      </x:c>
      <x:c r="J96" s="2" t="str">
        <x:v>Remove empty parameter names when returned to Bedrock</x:v>
      </x:c>
      <x:c r="K96" s="2" t="str">
        <x:v>Only for the Bedrock outgoing station repositioning conversion, reserving specification session data; not all JSON interfaces are illegal with blank keys, adapted by provider agreement.</x:v>
      </x:c>
      <x:c r="L96" s="2" t="str">
        <x:v>Calculated integrated back-checks: only for Bedrock exit reset conversions, retaining specification session data; empty keys are not illegal for all JSON interfaces, adapted to the provider's contract.</x:v>
      </x:c>
      <x:c r="M96" s="2" t="str">
        <x:v>https://github.com/earendil-works/pi/issues/7782</x:v>
      </x:c>
      <x:c r="N96" s="2" t="str">
        <x:v>F01</x:v>
      </x:c>
      <x:c r="O96" s="2" t="str">
        <x:v>Determinate from available evidence</x:v>
      </x:c>
    </x:row>
  </x:sheetData>
  <x:pageMargins left="0.7" right="0.7" top="0.75" bottom="0.75" header="0.3" footer="0.3"/>
  <x:tableParts count="1">
    <x:tablePart xmlns:r="http://schemas.openxmlformats.org/officeDocument/2006/relationships" r:id="R6dc7e95d65b9437e"/>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8"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s>
  <x:sheetData>
    <x:row r="1" ht="42" customHeight="1">
      <x:c r="A1" s="1" t="str">
        <x:v>Root-cause ID</x:v>
      </x:c>
      <x:c r="B1" s="1" t="str">
        <x:v>Existing root cause</x:v>
      </x:c>
      <x:c r="C1" s="1" t="str">
        <x:v>Full sample (901)</x:v>
      </x:c>
      <x:c r="D1" s="1" t="str">
        <x:v>Selected sample (481)</x:v>
      </x:c>
      <x:c r="E1" s="1" t="str">
        <x:v>Determinate from available evidence</x:v>
      </x:c>
      <x:c r="F1" s="1" t="str">
        <x:v>Closest-fit assignment</x:v>
      </x:c>
      <x:c r="G1" s="1" t="str">
        <x:v>F01</x:v>
      </x:c>
      <x:c r="H1" s="1" t="str">
        <x:v>F02</x:v>
      </x:c>
      <x:c r="I1" s="1" t="str">
        <x:v>F03</x:v>
      </x:c>
      <x:c r="J1" s="1" t="str">
        <x:v>F04</x:v>
      </x:c>
      <x:c r="K1" s="1" t="str">
        <x:v>Implemented and evidence-determinate</x:v>
      </x:c>
      <x:c r="L1" s="1" t="str">
        <x:v>Single primary strategy</x:v>
      </x:c>
    </x:row>
    <x:row r="2" ht="24" customHeight="1">
      <x:c r="A2" s="2" t="str">
        <x:v>C01</x:v>
      </x:c>
      <x:c r="B2" s="2" t="str">
        <x:v>Content transformation errors</x:v>
      </x:c>
      <x:c r="C2" s="2" t="n">
        <x:v>40</x:v>
      </x:c>
      <x:c r="D2" s="2" t="n">
        <x:v>19</x:v>
      </x:c>
      <x:c r="E2" s="2" t="n">
        <x:v>18</x:v>
      </x:c>
      <x:c r="F2" s="2" t="n">
        <x:v>1</x:v>
      </x:c>
      <x:c r="G2" s="2" t="n">
        <x:v>14</x:v>
      </x:c>
      <x:c r="H2" s="2" t="n">
        <x:v>0</x:v>
      </x:c>
      <x:c r="I2" s="2" t="n">
        <x:v>4</x:v>
      </x:c>
      <x:c r="J2" s="2" t="n">
        <x:v>1</x:v>
      </x:c>
      <x:c r="K2" s="2" t="n">
        <x:v>15</x:v>
      </x:c>
      <x:c r="L2" s="2" t="str">
        <x:v>F01</x:v>
      </x:c>
    </x:row>
    <x:row r="3" ht="24" customHeight="1">
      <x:c r="A3" s="2" t="str">
        <x:v>C02</x:v>
      </x:c>
      <x:c r="B3" s="2" t="str">
        <x:v>Data-type or schema mismatches</x:v>
      </x:c>
      <x:c r="C3" s="2" t="n">
        <x:v>50</x:v>
      </x:c>
      <x:c r="D3" s="2" t="n">
        <x:v>24</x:v>
      </x:c>
      <x:c r="E3" s="2" t="n">
        <x:v>22</x:v>
      </x:c>
      <x:c r="F3" s="2" t="n">
        <x:v>2</x:v>
      </x:c>
      <x:c r="G3" s="2" t="n">
        <x:v>20</x:v>
      </x:c>
      <x:c r="H3" s="2" t="n">
        <x:v>0</x:v>
      </x:c>
      <x:c r="I3" s="2" t="n">
        <x:v>4</x:v>
      </x:c>
      <x:c r="J3" s="2" t="n">
        <x:v>0</x:v>
      </x:c>
      <x:c r="K3" s="2" t="n">
        <x:v>16</x:v>
      </x:c>
      <x:c r="L3" s="2" t="str">
        <x:v>F01</x:v>
      </x:c>
    </x:row>
    <x:row r="4" ht="24" customHeight="1">
      <x:c r="A4" s="2" t="str">
        <x:v>C03</x:v>
      </x:c>
      <x:c r="B4" s="2" t="str">
        <x:v>Request parameter assembly errors</x:v>
      </x:c>
      <x:c r="C4" s="2" t="n">
        <x:v>45</x:v>
      </x:c>
      <x:c r="D4" s="2" t="n">
        <x:v>25</x:v>
      </x:c>
      <x:c r="E4" s="2" t="n">
        <x:v>20</x:v>
      </x:c>
      <x:c r="F4" s="2" t="n">
        <x:v>5</x:v>
      </x:c>
      <x:c r="G4" s="2" t="n">
        <x:v>23</x:v>
      </x:c>
      <x:c r="H4" s="2" t="n">
        <x:v>2</x:v>
      </x:c>
      <x:c r="I4" s="2" t="n">
        <x:v>0</x:v>
      </x:c>
      <x:c r="J4" s="2" t="n">
        <x:v>0</x:v>
      </x:c>
      <x:c r="K4" s="2" t="n">
        <x:v>15</x:v>
      </x:c>
      <x:c r="L4" s="2" t="str">
        <x:v>F01</x:v>
      </x:c>
    </x:row>
    <x:row r="5" ht="24" customHeight="1">
      <x:c r="A5" s="2" t="str">
        <x:v>C04</x:v>
      </x:c>
      <x:c r="B5" s="2" t="str">
        <x:v>Protocol adaptation inconsistencies</x:v>
      </x:c>
      <x:c r="C5" s="2" t="n">
        <x:v>60</x:v>
      </x:c>
      <x:c r="D5" s="2" t="n">
        <x:v>26</x:v>
      </x:c>
      <x:c r="E5" s="2" t="n">
        <x:v>21</x:v>
      </x:c>
      <x:c r="F5" s="2" t="n">
        <x:v>5</x:v>
      </x:c>
      <x:c r="G5" s="2" t="n">
        <x:v>22</x:v>
      </x:c>
      <x:c r="H5" s="2" t="n">
        <x:v>2</x:v>
      </x:c>
      <x:c r="I5" s="2" t="n">
        <x:v>2</x:v>
      </x:c>
      <x:c r="J5" s="2" t="n">
        <x:v>0</x:v>
      </x:c>
      <x:c r="K5" s="2" t="n">
        <x:v>12</x:v>
      </x:c>
      <x:c r="L5" s="2" t="str">
        <x:v>F01</x:v>
      </x:c>
    </x:row>
    <x:row r="6" ht="24" customHeight="1">
      <x:c r="A6" s="2" t="str">
        <x:v>C05</x:v>
      </x:c>
      <x:c r="B6" s="2" t="str">
        <x:v>Identifier and association errors</x:v>
      </x:c>
      <x:c r="C6" s="2" t="n">
        <x:v>43</x:v>
      </x:c>
      <x:c r="D6" s="2" t="n">
        <x:v>27</x:v>
      </x:c>
      <x:c r="E6" s="2" t="n">
        <x:v>26</x:v>
      </x:c>
      <x:c r="F6" s="2" t="n">
        <x:v>1</x:v>
      </x:c>
      <x:c r="G6" s="2" t="n">
        <x:v>17</x:v>
      </x:c>
      <x:c r="H6" s="2" t="n">
        <x:v>7</x:v>
      </x:c>
      <x:c r="I6" s="2" t="n">
        <x:v>2</x:v>
      </x:c>
      <x:c r="J6" s="2" t="n">
        <x:v>1</x:v>
      </x:c>
      <x:c r="K6" s="2" t="n">
        <x:v>21</x:v>
      </x:c>
      <x:c r="L6" s="2" t="str">
        <x:v>F01</x:v>
      </x:c>
    </x:row>
    <x:row r="7" ht="24" customHeight="1">
      <x:c r="A7" s="2" t="str">
        <x:v>C06</x:v>
      </x:c>
      <x:c r="B7" s="2" t="str">
        <x:v>Mutable-state synchronization and isolation errors</x:v>
      </x:c>
      <x:c r="C7" s="2" t="n">
        <x:v>34</x:v>
      </x:c>
      <x:c r="D7" s="2" t="n">
        <x:v>23</x:v>
      </x:c>
      <x:c r="E7" s="2" t="n">
        <x:v>19</x:v>
      </x:c>
      <x:c r="F7" s="2" t="n">
        <x:v>4</x:v>
      </x:c>
      <x:c r="G7" s="2" t="n">
        <x:v>2</x:v>
      </x:c>
      <x:c r="H7" s="2" t="n">
        <x:v>20</x:v>
      </x:c>
      <x:c r="I7" s="2" t="n">
        <x:v>1</x:v>
      </x:c>
      <x:c r="J7" s="2" t="n">
        <x:v>0</x:v>
      </x:c>
      <x:c r="K7" s="2" t="n">
        <x:v>13</x:v>
      </x:c>
      <x:c r="L7" s="2" t="str">
        <x:v>F02</x:v>
      </x:c>
    </x:row>
    <x:row r="8" ht="24" customHeight="1">
      <x:c r="A8" s="2" t="str">
        <x:v>C07</x:v>
      </x:c>
      <x:c r="B8" s="2" t="str">
        <x:v>Stale caches or snapshots</x:v>
      </x:c>
      <x:c r="C8" s="2" t="n">
        <x:v>24</x:v>
      </x:c>
      <x:c r="D8" s="2" t="n">
        <x:v>12</x:v>
      </x:c>
      <x:c r="E8" s="2" t="n">
        <x:v>11</x:v>
      </x:c>
      <x:c r="F8" s="2" t="n">
        <x:v>1</x:v>
      </x:c>
      <x:c r="G8" s="2" t="n">
        <x:v>0</x:v>
      </x:c>
      <x:c r="H8" s="2" t="n">
        <x:v>12</x:v>
      </x:c>
      <x:c r="I8" s="2" t="n">
        <x:v>0</x:v>
      </x:c>
      <x:c r="J8" s="2" t="n">
        <x:v>0</x:v>
      </x:c>
      <x:c r="K8" s="2" t="n">
        <x:v>9</x:v>
      </x:c>
      <x:c r="L8" s="2" t="str">
        <x:v>F02</x:v>
      </x:c>
    </x:row>
    <x:row r="9" ht="24" customHeight="1">
      <x:c r="A9" s="2" t="str">
        <x:v>C08</x:v>
      </x:c>
      <x:c r="B9" s="2" t="str">
        <x:v>Context selection and injection errors</x:v>
      </x:c>
      <x:c r="C9" s="2" t="n">
        <x:v>43</x:v>
      </x:c>
      <x:c r="D9" s="2" t="n">
        <x:v>20</x:v>
      </x:c>
      <x:c r="E9" s="2" t="n">
        <x:v>16</x:v>
      </x:c>
      <x:c r="F9" s="2" t="n">
        <x:v>4</x:v>
      </x:c>
      <x:c r="G9" s="2" t="n">
        <x:v>11</x:v>
      </x:c>
      <x:c r="H9" s="2" t="n">
        <x:v>8</x:v>
      </x:c>
      <x:c r="I9" s="2" t="n">
        <x:v>1</x:v>
      </x:c>
      <x:c r="J9" s="2" t="n">
        <x:v>0</x:v>
      </x:c>
      <x:c r="K9" s="2" t="n">
        <x:v>11</x:v>
      </x:c>
      <x:c r="L9" s="2" t="str">
        <x:v>F01</x:v>
      </x:c>
    </x:row>
    <x:row r="10" ht="24" customHeight="1">
      <x:c r="A10" s="2" t="str">
        <x:v>C09</x:v>
      </x:c>
      <x:c r="B10" s="2" t="str">
        <x:v>Discovery and loading rule errors</x:v>
      </x:c>
      <x:c r="C10" s="2" t="n">
        <x:v>38</x:v>
      </x:c>
      <x:c r="D10" s="2" t="n">
        <x:v>19</x:v>
      </x:c>
      <x:c r="E10" s="2" t="n">
        <x:v>16</x:v>
      </x:c>
      <x:c r="F10" s="2" t="n">
        <x:v>3</x:v>
      </x:c>
      <x:c r="G10" s="2" t="n">
        <x:v>1</x:v>
      </x:c>
      <x:c r="H10" s="2" t="n">
        <x:v>15</x:v>
      </x:c>
      <x:c r="I10" s="2" t="n">
        <x:v>2</x:v>
      </x:c>
      <x:c r="J10" s="2" t="n">
        <x:v>1</x:v>
      </x:c>
      <x:c r="K10" s="2" t="n">
        <x:v>14</x:v>
      </x:c>
      <x:c r="L10" s="2" t="str">
        <x:v>F02</x:v>
      </x:c>
    </x:row>
    <x:row r="11" ht="24" customHeight="1">
      <x:c r="A11" s="2" t="str">
        <x:v>C10</x:v>
      </x:c>
      <x:c r="B11" s="2" t="str">
        <x:v>Incorrect control-flow transitions</x:v>
      </x:c>
      <x:c r="C11" s="2" t="n">
        <x:v>61</x:v>
      </x:c>
      <x:c r="D11" s="2" t="n">
        <x:v>35</x:v>
      </x:c>
      <x:c r="E11" s="2" t="n">
        <x:v>30</x:v>
      </x:c>
      <x:c r="F11" s="2" t="n">
        <x:v>5</x:v>
      </x:c>
      <x:c r="G11" s="2" t="n">
        <x:v>0</x:v>
      </x:c>
      <x:c r="H11" s="2" t="n">
        <x:v>28</x:v>
      </x:c>
      <x:c r="I11" s="2" t="n">
        <x:v>7</x:v>
      </x:c>
      <x:c r="J11" s="2" t="n">
        <x:v>0</x:v>
      </x:c>
      <x:c r="K11" s="2" t="n">
        <x:v>16</x:v>
      </x:c>
      <x:c r="L11" s="2" t="str">
        <x:v>F02</x:v>
      </x:c>
    </x:row>
    <x:row r="12" ht="24" customHeight="1">
      <x:c r="A12" s="2" t="str">
        <x:v>C11</x:v>
      </x:c>
      <x:c r="B12" s="2" t="str">
        <x:v>Asynchronous lifecycle races</x:v>
      </x:c>
      <x:c r="C12" s="2" t="n">
        <x:v>44</x:v>
      </x:c>
      <x:c r="D12" s="2" t="n">
        <x:v>31</x:v>
      </x:c>
      <x:c r="E12" s="2" t="n">
        <x:v>26</x:v>
      </x:c>
      <x:c r="F12" s="2" t="n">
        <x:v>5</x:v>
      </x:c>
      <x:c r="G12" s="2" t="n">
        <x:v>0</x:v>
      </x:c>
      <x:c r="H12" s="2" t="n">
        <x:v>26</x:v>
      </x:c>
      <x:c r="I12" s="2" t="n">
        <x:v>3</x:v>
      </x:c>
      <x:c r="J12" s="2" t="n">
        <x:v>2</x:v>
      </x:c>
      <x:c r="K12" s="2" t="n">
        <x:v>20</x:v>
      </x:c>
      <x:c r="L12" s="2" t="str">
        <x:v>F02</x:v>
      </x:c>
    </x:row>
    <x:row r="13" ht="24" customHeight="1">
      <x:c r="A13" s="2" t="str">
        <x:v>C12</x:v>
      </x:c>
      <x:c r="B13" s="2" t="str">
        <x:v>Missing exception or boundary handling</x:v>
      </x:c>
      <x:c r="C13" s="2" t="n">
        <x:v>35</x:v>
      </x:c>
      <x:c r="D13" s="2" t="n">
        <x:v>22</x:v>
      </x:c>
      <x:c r="E13" s="2" t="n">
        <x:v>21</x:v>
      </x:c>
      <x:c r="F13" s="2" t="n">
        <x:v>1</x:v>
      </x:c>
      <x:c r="G13" s="2" t="n">
        <x:v>3</x:v>
      </x:c>
      <x:c r="H13" s="2" t="n">
        <x:v>2</x:v>
      </x:c>
      <x:c r="I13" s="2" t="n">
        <x:v>17</x:v>
      </x:c>
      <x:c r="J13" s="2" t="n">
        <x:v>0</x:v>
      </x:c>
      <x:c r="K13" s="2" t="n">
        <x:v>16</x:v>
      </x:c>
      <x:c r="L13" s="2" t="str">
        <x:v>F03</x:v>
      </x:c>
    </x:row>
    <x:row r="14" ht="24" customHeight="1">
      <x:c r="A14" s="2" t="str">
        <x:v>C13</x:v>
      </x:c>
      <x:c r="B14" s="2" t="str">
        <x:v>Incomplete error and result feedback</x:v>
      </x:c>
      <x:c r="C14" s="2" t="n">
        <x:v>36</x:v>
      </x:c>
      <x:c r="D14" s="2" t="n">
        <x:v>18</x:v>
      </x:c>
      <x:c r="E14" s="2" t="n">
        <x:v>18</x:v>
      </x:c>
      <x:c r="F14" s="2" t="n">
        <x:v>0</x:v>
      </x:c>
      <x:c r="G14" s="2" t="n">
        <x:v>3</x:v>
      </x:c>
      <x:c r="H14" s="2" t="n">
        <x:v>5</x:v>
      </x:c>
      <x:c r="I14" s="2" t="n">
        <x:v>10</x:v>
      </x:c>
      <x:c r="J14" s="2" t="n">
        <x:v>0</x:v>
      </x:c>
      <x:c r="K14" s="2" t="n">
        <x:v>10</x:v>
      </x:c>
      <x:c r="L14" s="2" t="str">
        <x:v>F03</x:v>
      </x:c>
    </x:row>
    <x:row r="15" ht="24" customHeight="1">
      <x:c r="A15" s="2" t="str">
        <x:v>C14</x:v>
      </x:c>
      <x:c r="B15" s="2" t="str">
        <x:v>Incomplete artifact-delivery conversion</x:v>
      </x:c>
      <x:c r="C15" s="2" t="n">
        <x:v>22</x:v>
      </x:c>
      <x:c r="D15" s="2" t="n">
        <x:v>10</x:v>
      </x:c>
      <x:c r="E15" s="2" t="n">
        <x:v>9</x:v>
      </x:c>
      <x:c r="F15" s="2" t="n">
        <x:v>1</x:v>
      </x:c>
      <x:c r="G15" s="2" t="n">
        <x:v>6</x:v>
      </x:c>
      <x:c r="H15" s="2" t="n">
        <x:v>1</x:v>
      </x:c>
      <x:c r="I15" s="2" t="n">
        <x:v>2</x:v>
      </x:c>
      <x:c r="J15" s="2" t="n">
        <x:v>1</x:v>
      </x:c>
      <x:c r="K15" s="2" t="n">
        <x:v>6</x:v>
      </x:c>
      <x:c r="L15" s="2" t="str">
        <x:v>F01</x:v>
      </x:c>
    </x:row>
    <x:row r="16" ht="24" customHeight="1">
      <x:c r="A16" s="2" t="str">
        <x:v>C15</x:v>
      </x:c>
      <x:c r="B16" s="2" t="str">
        <x:v>Flawed security or authorization boundary checks</x:v>
      </x:c>
      <x:c r="C16" s="2" t="n">
        <x:v>47</x:v>
      </x:c>
      <x:c r="D16" s="2" t="n">
        <x:v>34</x:v>
      </x:c>
      <x:c r="E16" s="2" t="n">
        <x:v>32</x:v>
      </x:c>
      <x:c r="F16" s="2" t="n">
        <x:v>2</x:v>
      </x:c>
      <x:c r="G16" s="2" t="n">
        <x:v>4</x:v>
      </x:c>
      <x:c r="H16" s="2" t="n">
        <x:v>2</x:v>
      </x:c>
      <x:c r="I16" s="2" t="n">
        <x:v>28</x:v>
      </x:c>
      <x:c r="J16" s="2" t="n">
        <x:v>0</x:v>
      </x:c>
      <x:c r="K16" s="2" t="n">
        <x:v>22</x:v>
      </x:c>
      <x:c r="L16" s="2" t="str">
        <x:v>F03</x:v>
      </x:c>
    </x:row>
    <x:row r="17" ht="24" customHeight="1">
      <x:c r="A17" s="2" t="str">
        <x:v>C16</x:v>
      </x:c>
      <x:c r="B17" s="2" t="str">
        <x:v>Configuration handling errors</x:v>
      </x:c>
      <x:c r="C17" s="2" t="n">
        <x:v>47</x:v>
      </x:c>
      <x:c r="D17" s="2" t="n">
        <x:v>25</x:v>
      </x:c>
      <x:c r="E17" s="2" t="n">
        <x:v>21</x:v>
      </x:c>
      <x:c r="F17" s="2" t="n">
        <x:v>4</x:v>
      </x:c>
      <x:c r="G17" s="2" t="n">
        <x:v>10</x:v>
      </x:c>
      <x:c r="H17" s="2" t="n">
        <x:v>9</x:v>
      </x:c>
      <x:c r="I17" s="2" t="n">
        <x:v>5</x:v>
      </x:c>
      <x:c r="J17" s="2" t="n">
        <x:v>1</x:v>
      </x:c>
      <x:c r="K17" s="2" t="n">
        <x:v>14</x:v>
      </x:c>
      <x:c r="L17" s="2" t="str">
        <x:v>F01</x:v>
      </x:c>
    </x:row>
    <x:row r="18" ht="24" customHeight="1">
      <x:c r="A18" s="2" t="str">
        <x:v>C17</x:v>
      </x:c>
      <x:c r="B18" s="2" t="str">
        <x:v>Unmet environmental prerequisites</x:v>
      </x:c>
      <x:c r="C18" s="2" t="n">
        <x:v>53</x:v>
      </x:c>
      <x:c r="D18" s="2" t="n">
        <x:v>13</x:v>
      </x:c>
      <x:c r="E18" s="2" t="n">
        <x:v>10</x:v>
      </x:c>
      <x:c r="F18" s="2" t="n">
        <x:v>3</x:v>
      </x:c>
      <x:c r="G18" s="2" t="n">
        <x:v>1</x:v>
      </x:c>
      <x:c r="H18" s="2" t="n">
        <x:v>1</x:v>
      </x:c>
      <x:c r="I18" s="2" t="n">
        <x:v>1</x:v>
      </x:c>
      <x:c r="J18" s="2" t="n">
        <x:v>10</x:v>
      </x:c>
      <x:c r="K18" s="2" t="n">
        <x:v>5</x:v>
      </x:c>
      <x:c r="L18" s="2" t="str">
        <x:v>F04</x:v>
      </x:c>
    </x:row>
    <x:row r="19" ht="24" customHeight="1">
      <x:c r="A19" s="2" t="str">
        <x:v>C18</x:v>
      </x:c>
      <x:c r="B19" s="2" t="str">
        <x:v>Platform, path, or process incompatibilities</x:v>
      </x:c>
      <x:c r="C19" s="2" t="n">
        <x:v>24</x:v>
      </x:c>
      <x:c r="D19" s="2" t="n">
        <x:v>13</x:v>
      </x:c>
      <x:c r="E19" s="2" t="n">
        <x:v>12</x:v>
      </x:c>
      <x:c r="F19" s="2" t="n">
        <x:v>1</x:v>
      </x:c>
      <x:c r="G19" s="2" t="n">
        <x:v>5</x:v>
      </x:c>
      <x:c r="H19" s="2" t="n">
        <x:v>2</x:v>
      </x:c>
      <x:c r="I19" s="2" t="n">
        <x:v>2</x:v>
      </x:c>
      <x:c r="J19" s="2" t="n">
        <x:v>4</x:v>
      </x:c>
      <x:c r="K19" s="2" t="n">
        <x:v>11</x:v>
      </x:c>
      <x:c r="L19" s="2" t="str">
        <x:v>F01</x:v>
      </x:c>
    </x:row>
    <x:row r="20" ht="24" customHeight="1">
      <x:c r="A20" s="2" t="str">
        <x:v>C19</x:v>
      </x:c>
      <x:c r="B20" s="2" t="str">
        <x:v>Extension or API interface incompatibilities</x:v>
      </x:c>
      <x:c r="C20" s="2" t="n">
        <x:v>27</x:v>
      </x:c>
      <x:c r="D20" s="2" t="n">
        <x:v>17</x:v>
      </x:c>
      <x:c r="E20" s="2" t="n">
        <x:v>14</x:v>
      </x:c>
      <x:c r="F20" s="2" t="n">
        <x:v>3</x:v>
      </x:c>
      <x:c r="G20" s="2" t="n">
        <x:v>9</x:v>
      </x:c>
      <x:c r="H20" s="2" t="n">
        <x:v>5</x:v>
      </x:c>
      <x:c r="I20" s="2" t="n">
        <x:v>2</x:v>
      </x:c>
      <x:c r="J20" s="2" t="n">
        <x:v>1</x:v>
      </x:c>
      <x:c r="K20" s="2" t="n">
        <x:v>10</x:v>
      </x:c>
      <x:c r="L20" s="2" t="str">
        <x:v>F01</x:v>
      </x:c>
    </x:row>
    <x:row r="21" ht="24" customHeight="1">
      <x:c r="A21" s="2" t="str">
        <x:v>C20</x:v>
      </x:c>
      <x:c r="B21" s="2" t="str">
        <x:v>Insufficient resource control</x:v>
      </x:c>
      <x:c r="C21" s="2" t="n">
        <x:v>39</x:v>
      </x:c>
      <x:c r="D21" s="2" t="n">
        <x:v>18</x:v>
      </x:c>
      <x:c r="E21" s="2" t="n">
        <x:v>16</x:v>
      </x:c>
      <x:c r="F21" s="2" t="n">
        <x:v>2</x:v>
      </x:c>
      <x:c r="G21" s="2" t="n">
        <x:v>1</x:v>
      </x:c>
      <x:c r="H21" s="2" t="n">
        <x:v>13</x:v>
      </x:c>
      <x:c r="I21" s="2" t="n">
        <x:v>2</x:v>
      </x:c>
      <x:c r="J21" s="2" t="n">
        <x:v>2</x:v>
      </x:c>
      <x:c r="K21" s="2" t="n">
        <x:v>8</x:v>
      </x:c>
      <x:c r="L21" s="2" t="str">
        <x:v>F02</x:v>
      </x:c>
    </x:row>
    <x:row r="22" ht="24" customHeight="1">
      <x:c r="A22" s="2" t="str">
        <x:v>C21</x:v>
      </x:c>
      <x:c r="B22" s="2" t="str">
        <x:v>Incomplete distribution or update protections</x:v>
      </x:c>
      <x:c r="C22" s="2" t="n">
        <x:v>20</x:v>
      </x:c>
      <x:c r="D22" s="2" t="n">
        <x:v>20</x:v>
      </x:c>
      <x:c r="E22" s="2" t="n">
        <x:v>20</x:v>
      </x:c>
      <x:c r="F22" s="2" t="n">
        <x:v>0</x:v>
      </x:c>
      <x:c r="G22" s="2" t="n">
        <x:v>0</x:v>
      </x:c>
      <x:c r="H22" s="2" t="n">
        <x:v>4</x:v>
      </x:c>
      <x:c r="I22" s="2" t="n">
        <x:v>1</x:v>
      </x:c>
      <x:c r="J22" s="2" t="n">
        <x:v>15</x:v>
      </x:c>
      <x:c r="K22" s="2" t="n">
        <x:v>16</x:v>
      </x:c>
      <x:c r="L22" s="2" t="str">
        <x:v>F04</x:v>
      </x:c>
    </x:row>
    <x:row r="23" ht="24" customHeight="1">
      <x:c r="A23" s="2" t="str">
        <x:v>C22</x:v>
      </x:c>
      <x:c r="B23" s="2" t="str">
        <x:v>Model interpretation or generation errors</x:v>
      </x:c>
      <x:c r="C23" s="2" t="n">
        <x:v>26</x:v>
      </x:c>
      <x:c r="D23" s="2" t="n">
        <x:v>3</x:v>
      </x:c>
      <x:c r="E23" s="2" t="n">
        <x:v>0</x:v>
      </x:c>
      <x:c r="F23" s="2" t="n">
        <x:v>3</x:v>
      </x:c>
      <x:c r="G23" s="2" t="n">
        <x:v>1</x:v>
      </x:c>
      <x:c r="H23" s="2" t="n">
        <x:v>2</x:v>
      </x:c>
      <x:c r="I23" s="2" t="n">
        <x:v>0</x:v>
      </x:c>
      <x:c r="J23" s="2" t="n">
        <x:v>0</x:v>
      </x:c>
      <x:c r="K23" s="2" t="n">
        <x:v>0</x:v>
      </x:c>
      <x:c r="L23" s="2" t="str">
        <x:v>F02</x:v>
      </x:c>
    </x:row>
    <x:row r="24" ht="24" customHeight="1">
      <x:c r="A24" s="2" t="str">
        <x:v>C23</x:v>
      </x:c>
      <x:c r="B24" s="2" t="str">
        <x:v>Incorrect operational guidance</x:v>
      </x:c>
      <x:c r="C24" s="2" t="n">
        <x:v>24</x:v>
      </x:c>
      <x:c r="D24" s="2" t="n">
        <x:v>15</x:v>
      </x:c>
      <x:c r="E24" s="2" t="n">
        <x:v>15</x:v>
      </x:c>
      <x:c r="F24" s="2" t="n">
        <x:v>0</x:v>
      </x:c>
      <x:c r="G24" s="2" t="n">
        <x:v>13</x:v>
      </x:c>
      <x:c r="H24" s="2" t="n">
        <x:v>2</x:v>
      </x:c>
      <x:c r="I24" s="2" t="n">
        <x:v>0</x:v>
      </x:c>
      <x:c r="J24" s="2" t="n">
        <x:v>0</x:v>
      </x:c>
      <x:c r="K24" s="2" t="n">
        <x:v>11</x:v>
      </x:c>
      <x:c r="L24" s="2" t="str">
        <x:v>F01</x:v>
      </x:c>
    </x:row>
    <x:row r="25" ht="24" customHeight="1">
      <x:c r="A25" s="2" t="str">
        <x:v>C24</x:v>
      </x:c>
      <x:c r="B25" s="2" t="str">
        <x:v>Persistence inconsistencies</x:v>
      </x:c>
      <x:c r="C25" s="2" t="n">
        <x:v>19</x:v>
      </x:c>
      <x:c r="D25" s="2" t="n">
        <x:v>12</x:v>
      </x:c>
      <x:c r="E25" s="2" t="n">
        <x:v>6</x:v>
      </x:c>
      <x:c r="F25" s="2" t="n">
        <x:v>6</x:v>
      </x:c>
      <x:c r="G25" s="2" t="n">
        <x:v>0</x:v>
      </x:c>
      <x:c r="H25" s="2" t="n">
        <x:v>12</x:v>
      </x:c>
      <x:c r="I25" s="2" t="n">
        <x:v>0</x:v>
      </x:c>
      <x:c r="J25" s="2" t="n">
        <x:v>0</x:v>
      </x:c>
      <x:c r="K25" s="2" t="n">
        <x:v>5</x:v>
      </x:c>
      <x:c r="L25" s="2" t="str">
        <x:v>F02</x:v>
      </x:c>
    </x:row>
  </x:sheetData>
  <x:pageMargins left="0.7" right="0.7" top="0.75" bottom="0.75" header="0.3" footer="0.3"/>
  <x:tableParts count="1">
    <x:tablePart xmlns:r="http://schemas.openxmlformats.org/officeDocument/2006/relationships" r:id="Rbef9db4028fd46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0" hidden="0" customWidth="1"/>
    <x:col min="4" max="4" width="18" hidden="0" customWidth="1"/>
    <x:col min="5" max="5" width="22" hidden="0" customWidth="1"/>
    <x:col min="6" max="6" width="22" hidden="0" customWidth="1"/>
    <x:col min="7" max="7" width="24" hidden="0" customWidth="1"/>
    <x:col min="8" max="8" width="20" hidden="0" customWidth="1"/>
    <x:col min="9" max="9" width="24" hidden="0" customWidth="1"/>
    <x:col min="10" max="10" width="70" hidden="0" customWidth="1"/>
    <x:col min="11" max="11" width="22" hidden="0" customWidth="1"/>
  </x:cols>
  <x:sheetData>
    <x:row r="1" ht="42" customHeight="1">
      <x:c r="A1" s="1" t="str">
        <x:v>Strategy ID</x:v>
      </x:c>
      <x:c r="B1" s="1" t="str">
        <x:v>Strategy name</x:v>
      </x:c>
      <x:c r="C1" s="1" t="str">
        <x:v>Final assignment count</x:v>
      </x:c>
      <x:c r="D1" s="1" t="str">
        <x:v>Percentage of 481 reports</x:v>
      </x:c>
      <x:c r="E1" s="1" t="str">
        <x:v>Evidence-determinate count</x:v>
      </x:c>
      <x:c r="F1" s="1" t="str">
        <x:v>Closest-fit assignment count</x:v>
      </x:c>
      <x:c r="G1" s="1" t="str">
        <x:v>Implemented targeted-repair count</x:v>
      </x:c>
      <x:c r="H1" s="1" t="str">
        <x:v>Root-cause categories covered by assignments</x:v>
      </x:c>
      <x:c r="I1" s="1" t="str">
        <x:v>Root-cause categories covered by evidence</x:v>
      </x:c>
      <x:c r="J1" s="1" t="str">
        <x:v>Root-cause IDs covered</x:v>
      </x:c>
      <x:c r="K1" s="1" t="str">
        <x:v>Prevalence</x:v>
      </x:c>
    </x:row>
    <x:row r="2" ht="35" customHeight="1">
      <x:c r="A2" s="2" t="str">
        <x:v>F01</x:v>
      </x:c>
      <x:c r="B2" s="2" t="str">
        <x:v>Representation and usage-contract alignment</x:v>
      </x:c>
      <x:c r="C2" s="2" t="n">
        <x:v>166</x:v>
      </x:c>
      <x:c r="D2" s="3" t="n">
        <x:v>0.34511434511434513</x:v>
      </x:c>
      <x:c r="E2" s="2" t="n">
        <x:v>144</x:v>
      </x:c>
      <x:c r="F2" s="2" t="n">
        <x:v>22</x:v>
      </x:c>
      <x:c r="G2" s="2" t="n">
        <x:v>108</x:v>
      </x:c>
      <x:c r="H2" s="2" t="n">
        <x:v>19</x:v>
      </x:c>
      <x:c r="I2" s="2" t="n">
        <x:v>17</x:v>
      </x:c>
      <x:c r="J2" s="2" t="str">
        <x:v>C01,C02,C03,C04,C05,C06,C08,C09,C12,C13,C14,C15,C16,C17,C18,C19,C20,C22,C23</x:v>
      </x:c>
      <x:c r="K2" s="2" t="str">
        <x:v>Common strategies</x:v>
      </x:c>
    </x:row>
    <x:row r="3" ht="35" customHeight="1">
      <x:c r="A3" s="2" t="str">
        <x:v>F02</x:v>
      </x:c>
      <x:c r="B3" s="2" t="str">
        <x:v>Execution-flow and state correction</x:v>
      </x:c>
      <x:c r="C3" s="2" t="n">
        <x:v>180</x:v>
      </x:c>
      <x:c r="D3" s="3" t="n">
        <x:v>0.37422037422037424</x:v>
      </x:c>
      <x:c r="E3" s="2" t="n">
        <x:v>146</x:v>
      </x:c>
      <x:c r="F3" s="2" t="n">
        <x:v>34</x:v>
      </x:c>
      <x:c r="G3" s="2" t="n">
        <x:v>104</x:v>
      </x:c>
      <x:c r="H3" s="2" t="n">
        <x:v>22</x:v>
      </x:c>
      <x:c r="I3" s="2" t="n">
        <x:v>20</x:v>
      </x:c>
      <x:c r="J3" s="2" t="str">
        <x:v>C03,C04,C05,C06,C07,C08,C09,C10,C11,C12,C13,C14,C15,C16,C17,C18,C19,C20,C21,C22,C23,C24</x:v>
      </x:c>
      <x:c r="K3" s="2" t="str">
        <x:v>Common strategies</x:v>
      </x:c>
    </x:row>
    <x:row r="4" ht="35" customHeight="1">
      <x:c r="A4" s="2" t="str">
        <x:v>F03</x:v>
      </x:c>
      <x:c r="B4" s="2" t="str">
        <x:v>Validation and failure-path hardening</x:v>
      </x:c>
      <x:c r="C4" s="2" t="n">
        <x:v>96</x:v>
      </x:c>
      <x:c r="D4" s="3" t="n">
        <x:v>0.1995841995841996</x:v>
      </x:c>
      <x:c r="E4" s="2" t="n">
        <x:v>93</x:v>
      </x:c>
      <x:c r="F4" s="2" t="n">
        <x:v>3</x:v>
      </x:c>
      <x:c r="G4" s="2" t="n">
        <x:v>57</x:v>
      </x:c>
      <x:c r="H4" s="2" t="n">
        <x:v>19</x:v>
      </x:c>
      <x:c r="I4" s="2" t="n">
        <x:v>18</x:v>
      </x:c>
      <x:c r="J4" s="2" t="str">
        <x:v>C01,C02,C04,C05,C06,C08,C09,C10,C11,C12,C13,C14,C15,C16,C17,C18,C19,C20,C21</x:v>
      </x:c>
      <x:c r="K4" s="2" t="str">
        <x:v>Common strategies</x:v>
      </x:c>
    </x:row>
    <x:row r="5" ht="35" customHeight="1">
      <x:c r="A5" s="2" t="str">
        <x:v>F04</x:v>
      </x:c>
      <x:c r="B5" s="2" t="str">
        <x:v>Environment and distribution adaptation</x:v>
      </x:c>
      <x:c r="C5" s="2" t="n">
        <x:v>39</x:v>
      </x:c>
      <x:c r="D5" s="3" t="n">
        <x:v>0.08108108108108109</x:v>
      </x:c>
      <x:c r="E5" s="2" t="n">
        <x:v>36</x:v>
      </x:c>
      <x:c r="F5" s="2" t="n">
        <x:v>3</x:v>
      </x:c>
      <x:c r="G5" s="2" t="n">
        <x:v>27</x:v>
      </x:c>
      <x:c r="H5" s="2" t="n">
        <x:v>11</x:v>
      </x:c>
      <x:c r="I5" s="2" t="n">
        <x:v>10</x:v>
      </x:c>
      <x:c r="J5" s="2" t="str">
        <x:v>C01,C05,C09,C11,C14,C16,C17,C18,C19,C20,C21</x:v>
      </x:c>
      <x:c r="K5" s="2" t="str">
        <x:v>Common strategies</x:v>
      </x:c>
    </x:row>
  </x:sheetData>
  <x:pageMargins left="0.7" right="0.7" top="0.75" bottom="0.75" header="0.3" footer="0.3"/>
  <x:tableParts count="1">
    <x:tablePart xmlns:r="http://schemas.openxmlformats.org/officeDocument/2006/relationships" r:id="R1f9416f24b2d47ed"/>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15" hidden="0" customWidth="1"/>
  </x:cols>
  <x:sheetData>
    <x:row r="1" ht="42" customHeight="1">
      <x:c r="A1" s="1" t="str">
        <x:v>Item</x:v>
      </x:c>
      <x:c r="B1" s="1" t="str">
        <x:v>Description</x:v>
      </x:c>
    </x:row>
    <x:row r="2" ht="24" customHeight="1">
      <x:c r="A2" s="2" t="str">
        <x:v>Current sample scope</x:v>
      </x:c>
      <x:c r="B2" s="2" t="str">
        <x:v>Cut RQ1 Performance S12/S17 after 901 bars;repair volumes and strategies used 481 Number of straight lines recorded, rest 420 Article not included in strategy.</x:v>
      </x:c>
    </x:row>
    <x:row r="3" ht="24" customHeight="1">
      <x:c r="A3" s="2" t="str">
        <x:v>Maintaining Role</x:v>
      </x:c>
      <x:c r="B3" s="2" t="str">
        <x:v>The original pilot and credential roles are not re-randomly allocated; the current pilot 245, credential 236, and non-overlapping.</x:v>
      </x:c>
    </x:row>
    <x:row r="4" ht="24" customHeight="1">
      <x:c r="A4" s="2" t="str">
        <x:v>Changes in scope</x:v>
      </x:c>
      <x:c r="B4" s="2" t="str">
        <x:v>S12 Total 21 reports、 S17 Total 22 strips; total eliminations 43 Article, of which 27 Bar in original repair sample (pilot) 11 Letter 16 ）.</x:v>
      </x:c>
    </x:row>
    <x:row r="5" ht="24" customHeight="1">
      <x:c r="A5" s="2" t="str">
        <x:v>Statistical scope</x:v>
      </x:c>
      <x:c r="B5" s="2" t="str">
        <x:v>Definition of categories, reservations Issue Labels、 days/loc Non-coding or revaluation of values; all quantities, ratios, matrices and Kappa Recount from record-keeping.</x:v>
      </x:c>
    </x:row>
    <x:row r="6" ht="35" customHeight="1">
      <x:c r="A6" s="2" t="str">
        <x:v>Freezing system</x:v>
      </x:c>
      <x:c r="B6" s="2" t="str">
        <x:v>4-class recovery strategies and freezing times of the original v1.0.  The original development process uses adjusted pre-pilot, this round is screened for later scope, without claims independently re-developing and freezing the system.</x:v>
      </x:c>
    </x:row>
    <x:row r="7" ht="35" customHeight="1">
      <x:c r="A7" s="2" t="str">
        <x:v>Source of the label</x:v>
      </x:c>
      <x:c r="B7" s="2" t="str">
        <x:v>A/B is the task of marking two isolation models; the current coefficient is the consistency of the labels before the original discussion, not equal to the trustworthiness of the two actual inspectors. </x:v>
      </x:c>
    </x:row>
    <x:row r="8" ht="35" customHeight="1">
      <x:c r="A8" s="2" t="str">
        <x:v>Evidence source</x:v>
      </x:c>
      <x:c r="B8" s="2" t="str">
        <x:v>Summary + Classification Table. xlsx's root cause/Repair summary and citation; not re-connected by segment to verify the full diff.  source_row continues to match unmodified source tables.</x:v>
      </x:c>
    </x:row>
    <x:row r="9" ht="24" customHeight="1">
      <x:c r="A9" s="2" t="str">
        <x:v>root cause restrictions</x:v>
      </x:c>
      <x:c r="B9" s="2" t="str">
        <x:v>Fixed 24 categories root cause; voce Issue Lead action response root cause In the end single label You don't press root cause ID Total batch distribution.</x:v>
      </x:c>
    </x:row>
    <x:row r="10" ht="24" customHeight="1">
      <x:c r="A10" s="2" t="str">
        <x:v>Finally matched</x:v>
      </x:c>
      <x:c r="B10" s="2" t="str">
        <x:v>All 481 articles have a single strategy. of which determinate from available evidence 419 Article, closest to presumption 62 article; presumption not to indicate proven repair.</x:v>
      </x:c>
    </x:row>
    <x:row r="11" ht="24" customHeight="1">
      <x:c r="A11" s="2" t="str">
        <x:v>The original state</x:v>
      </x:c>
      <x:c r="B11" s="2" t="str">
        <x:v>U1 insufficient evidence / U2 codebook Do not overwrite entry by different values Kappa;no input is actually entered missing;end matches do not return to original status.</x:v>
      </x:c>
    </x:row>
    <x:row r="12" ht="24" customHeight="1">
      <x:c r="A12" s="2" t="str">
        <x:v>Common Thresholds</x:v>
      </x:c>
      <x:c r="B12" s="2" t="str">
        <x:v>At least 5 The table of sources states that it has landed and determinate from available evidence  Issue; presumptions, non-consolidated and partial coverage of landfalls.</x:v>
      </x:c>
    </x:row>
    <x:row r="13" ht="24" customHeight="1">
      <x:c r="A13" s="2" t="str">
        <x:v>Finally back to check</x:v>
      </x:c>
      <x:c r="B13" s="2" t="str">
        <x:v>Keeping the original label separate from the final label.  The original matching statistics are recalculated after the current removal of scope, not counting consistency credentials after discussion. </x:v>
      </x:c>
    </x:row>
    <x:row r="14" ht="24" customHeight="1">
      <x:c r="A14" s="2" t="str">
        <x:v>Version archives</x:v>
      </x:c>
      <x:c r="B14" s="2" t="str">
        <x:v>The full RQ3/RQ4 directory prior to adjustment is moved to an external adjustment backup; the old 9 class trial version does not mix with the current 4 class strategy product.</x:v>
      </x:c>
    </x:row>
    <x:row r="15" ht="24" customHeight="1">
      <x:c r="A15" s="2" t="str">
        <x:v>The Kappa</x:v>
      </x:c>
      <x:c r="B15" s="2" t="str">
        <x:v>0.8890873202368643</x:v>
      </x:c>
    </x:row>
    <x:row r="16" ht="24" customHeight="1">
      <x:c r="A16" s="2" t="str">
        <x:v>Valid pairs</x:v>
      </x:c>
      <x:c r="B16" s="2" t="n">
        <x:v>236</x:v>
      </x:c>
    </x:row>
    <x:row r="17" ht="24" customHeight="1">
      <x:c r="A17" s="2" t="str">
        <x:v>Primary consistency</x:v>
      </x:c>
      <x:c r="B17" s="2" t="str">
        <x:v>0.9152542372881356</x:v>
      </x:c>
    </x:row>
    <x:row r="18" ht="24" customHeight="1">
      <x:c r="A18" s="2" t="str">
        <x:v>Accidental consistency</x:v>
      </x:c>
      <x:c r="B18" s="2" t="str">
        <x:v>0.23592358517667336</x:v>
      </x:c>
    </x:row>
    <x:row r="19" ht="24" customHeight="1">
      <x:c r="A19" s="2" t="str">
        <x:v>Python version</x:v>
      </x:c>
      <x:c r="B19" s="2" t="str">
        <x:v>3.12.14</x:v>
      </x:c>
    </x:row>
    <x:row r="20" ht="24" customHeight="1">
      <x:c r="A20" s="2" t="str">
        <x:v>Implementation</x:v>
      </x:c>
      <x:c r="B20" s="2" t="str">
        <x:v>Counter + Fraction and Excel COUNTIFS formulas</x:v>
      </x:c>
    </x:row>
    <x:row r="21" ht="24" customHeight="1">
      <x:c r="A21" s="2" t="str">
        <x:v>Calculation of time</x:v>
      </x:c>
      <x:c r="B21" s="2" t="d">
        <x:v>2026-10-21T12:02:25.928Z</x:v>
      </x:c>
    </x:row>
  </x:sheetData>
  <x:pageMargins left="0.7" right="0.7" top="0.75" bottom="0.75" header="0.3" footer="0.3"/>
  <x:tableParts count="1">
    <x:tablePart xmlns:r="http://schemas.openxmlformats.org/officeDocument/2006/relationships" r:id="Rf8e8ee1b3cd84e9e"/>
  </x:tableParts>
</x:worksheet>
</file>