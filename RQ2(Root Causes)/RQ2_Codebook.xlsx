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70e502c1a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t Cause Categories" sheetId="1" r:id="Rcc4c7f1e47c9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  <x:family val="2"/>
    </x:font>
    <x:font>
      <x:sz val="11"/>
      <x:color rgb="FF20313F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549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2" fillId="0" borderId="0" xfId="0" applyFont="1" applyAlignment="1">
      <x:alignment vertical="top" wrapText="1"/>
    </x:xf>
    <x:xf numFmtId="3" fontId="2" fillId="0" borderId="0" xfId="0" applyNumberFormat="1" applyFont="1" applyAlignment="1">
      <x:alignment horizontal="right" vertical="top" wrapText="1"/>
    </x:xf>
    <x:xf numFmtId="10" fontId="2" fillId="0" borderId="0" xfId="0" applyNumberFormat="1" applyFont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445fe55d24b2d" /><Relationship Type="http://schemas.openxmlformats.org/officeDocument/2006/relationships/theme" Target="/xl/theme/theme1.xml" Id="Re3c21cd6ed604d77" /><Relationship Type="http://schemas.openxmlformats.org/officeDocument/2006/relationships/sharedStrings" Target="/xl/sharedStrings.xml" Id="R6df101b5ee504083" /><Relationship Type="http://schemas.openxmlformats.org/officeDocument/2006/relationships/worksheet" Target="/xl/worksheets/sheet1.xml" Id="Rcc4c7f1e47c940b4" /></Relationships>
</file>

<file path=xl/tables/table1.xml><?xml version="1.0" encoding="utf-8"?>
<x:table xmlns:x="http://schemas.openxmlformats.org/spreadsheetml/2006/main" id="1" name="Data1" displayName="Data1" ref="A1:L25" headerRowCount="1" totalsRowCount="0" totalsRowShown="0">
  <x:tableColumns count="12">
    <x:tableColumn id="1" name="Category ID"/>
    <x:tableColumn id="2" name="Category name"/>
    <x:tableColumn id="3" name="Full-sample count"/>
    <x:tableColumn id="4" name="Percentage"/>
    <x:tableColumn id="5" name="Definition"/>
    <x:tableColumn id="6" name="Inclusion criteria"/>
    <x:tableColumn id="7" name="Exclusion criteria"/>
    <x:tableColumn id="8" name="Category boundaries"/>
    <x:tableColumn id="9" name="Single-label decision rule"/>
    <x:tableColumn id="10" name="Pilot count"/>
    <x:tableColumn id="11" name="Evidence example"/>
    <x:tableColumn id="12" name="Evidence source and level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b59fea492d4e9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45" hidden="0" customWidth="1"/>
    <x:col min="3" max="3" width="18" hidden="0" customWidth="1"/>
    <x:col min="4" max="4" width="14" hidden="0" customWidth="1"/>
    <x:col min="5" max="5" width="70" hidden="0" customWidth="1"/>
    <x:col min="6" max="6" width="70" hidden="0" customWidth="1"/>
    <x:col min="7" max="7" width="70" hidden="0" customWidth="1"/>
    <x:col min="8" max="8" width="75" hidden="0" customWidth="1"/>
    <x:col min="9" max="9" width="75" hidden="0" customWidth="1"/>
    <x:col min="10" max="10" width="16" hidden="0" customWidth="1"/>
    <x:col min="11" max="11" width="115" hidden="0" customWidth="1"/>
    <x:col min="12" max="12" width="70" hidden="0" customWidth="1"/>
  </x:cols>
  <x:sheetData>
    <x:row r="1" ht="42" customHeight="1">
      <x:c r="A1" s="1" t="str">
        <x:v>Category ID</x:v>
      </x:c>
      <x:c r="B1" s="1" t="str">
        <x:v>Category name</x:v>
      </x:c>
      <x:c r="C1" s="1" t="str">
        <x:v>Full-sample count</x:v>
      </x:c>
      <x:c r="D1" s="1" t="str">
        <x:v>Percentage</x:v>
      </x:c>
      <x:c r="E1" s="1" t="str">
        <x:v>Definition</x:v>
      </x:c>
      <x:c r="F1" s="1" t="str">
        <x:v>Inclusion criteria</x:v>
      </x:c>
      <x:c r="G1" s="1" t="str">
        <x:v>Exclusion criteria</x:v>
      </x:c>
      <x:c r="H1" s="1" t="str">
        <x:v>Category boundaries</x:v>
      </x:c>
      <x:c r="I1" s="1" t="str">
        <x:v>Single-label decision rule</x:v>
      </x:c>
      <x:c r="J1" s="1" t="str">
        <x:v>Pilot count</x:v>
      </x:c>
      <x:c r="K1" s="1" t="str">
        <x:v>Evidence example</x:v>
      </x:c>
      <x:c r="L1" s="1" t="str">
        <x:v>Evidence source and level</x:v>
      </x:c>
    </x:row>
    <x:row r="2" ht="90" customHeight="1">
      <x:c r="A2" s="2" t="str">
        <x:v>C01</x:v>
      </x:c>
      <x:c r="B2" s="2" t="str">
        <x:v>Content transformation errors</x:v>
      </x:c>
      <x:c r="C2" s="3" t="n">
        <x:v>27</x:v>
      </x:c>
      <x:c r="D2" s="4" t="n">
        <x:f>C2/SUM($C$2:$C$25)</x:f>
        <x:v>0.05389221556886228</x:v>
      </x:c>
      <x:c r="E2" s="2" t="str">
        <x:v>Representation conversion or lexical matching corrupts content or identifies boundaries incorrectly.</x:v>
      </x:c>
      <x:c r="F2" s="2" t="str">
        <x:v>Escaping, regular-expression prefixes, stripping markers, JSON parsing, or encoding/copy normalization.</x:v>
      </x:c>
      <x:c r="G2" s="2" t="str">
        <x:v>Underlying data-type mismatches (C02), or overall provider-protocol adaptation (C04).</x:v>
      </x:c>
      <x:c r="H2" s="2" t="str">
        <x:v>Use C01 when string/representation transformation is the key defect; use C12 for missing null guards.</x:v>
      </x:c>
      <x:c r="I2" s="2" t="str">
        <x:v>Use C01 when string/representation transformation is the key defect; use C12 for missing null guards.</x:v>
      </x:c>
      <x:c r="J2" s="2" t="n">
        <x:v>16</x:v>
      </x:c>
      <x:c r="K2" s="2" t="str">
        <x:v>P0001: Tool call text leaks through unsanitized extractAssistantText in sessions-helpers.ts
See the evidence examples table for complete references and excerpts.
P0335: alphanumeric() validator accepts trailing newline (sibling of #39234, #39548)
See the evidence examples table for complete references and excerpts.</x:v>
      </x:c>
      <x:c r="L2" s="2" t="str">
        <x:v>https://github.com/openclaw/openclaw/issues/1269
E2: supported by implementation or reproduction clues in the original report; not experimentally confirmed
https://github.com/langgenius/dify/issues/39666
E2: supported by the original report/comments; not experimentally confirmed</x:v>
      </x:c>
    </x:row>
    <x:row r="3" ht="90" customHeight="1">
      <x:c r="A3" s="2" t="str">
        <x:v>C02</x:v>
      </x:c>
      <x:c r="B3" s="2" t="str">
        <x:v>Data-type or schema mismatches</x:v>
      </x:c>
      <x:c r="C3" s="3" t="n">
        <x:v>36</x:v>
      </x:c>
      <x:c r="D3" s="4" t="n">
        <x:f>C3/SUM($C$2:$C$25)</x:f>
        <x:v>0.0718562874251497</x:v>
      </x:c>
      <x:c r="E3" s="2" t="str">
        <x:v>The producer's input/output shape does not meet the consumer's type or schema requirements.</x:v>
      </x:c>
      <x:c r="F3" s="2" t="str">
        <x:v>String versus array, File versus Array[File], top-level schema types, or an unwrapped wrapper.</x:v>
      </x:c>
      <x:c r="G3" s="2" t="str">
        <x:v>Omitted request fields (C03), unguarded undefined values (C12), or signature/API-version incompatibilities (C19).</x:v>
      </x:c>
      <x:c r="H3" s="2" t="str">
        <x:v>Use C02 for a known value's type/shape mismatch; the runtime error is only its symptom.</x:v>
      </x:c>
      <x:c r="I3" s="2" t="str">
        <x:v>Use C02 for a known value's type/shape mismatch; the runtime error is only its symptom.</x:v>
      </x:c>
      <x:c r="J3" s="2" t="n">
        <x:v>19</x:v>
      </x:c>
      <x:c r="K3" s="2" t="str">
        <x:v>P0139: [Bug]: Skill frontmatter parser crashes when `metadata` is a YAML string instead of a mapping
See the evidence examples table for complete references and excerpts.
P0306: validation error when tool returns LIST
See the evidence examples table for complete references and excerpts.</x:v>
      </x:c>
      <x:c r="L3" s="2" t="str">
        <x:v>https://github.com/NousResearch/hermes-agent/issues/4244
E2: supported by implementation or reproduction clues in the original report; not experimentally confirmed
https://github.com/langgenius/dify/issues/24819
E2: supported by the original report/comments; not experimentally confirmed</x:v>
      </x:c>
    </x:row>
    <x:row r="4" ht="90" customHeight="1">
      <x:c r="A4" s="2" t="str">
        <x:v>C03</x:v>
      </x:c>
      <x:c r="B4" s="2" t="str">
        <x:v>Request parameter assembly errors</x:v>
      </x:c>
      <x:c r="C4" s="3" t="n">
        <x:v>25</x:v>
      </x:c>
      <x:c r="D4" s="4" t="n">
        <x:f>C4/SUM($C$2:$C$25)</x:f>
        <x:v>0.0499001996007984</x:v>
      </x:c>
      <x:c r="E4" s="2" t="str">
        <x:v>Specific arguments, headers, or declarations are lost or passed incorrectly during request assembly.</x:v>
      </x:c>
      <x:c r="F4" s="2" t="str">
        <x:v>Omitted authentication headers, resume arguments, replay fields, or DELETE request bodies.</x:v>
      </x:c>
      <x:c r="G4" s="2" t="str">
        <x:v>A present field with the wrong type (C02), or incorrect precedence among configuration sources (C16).</x:v>
      </x:c>
      <x:c r="H4" s="2" t="str">
        <x:v>Identify the required field and assembly path; model-generated invalid arguments require evidence for C22.</x:v>
      </x:c>
      <x:c r="I4" s="2" t="str">
        <x:v>Identify the required field and assembly path; model-generated invalid arguments require evidence for C22.</x:v>
      </x:c>
      <x:c r="J4" s="2" t="n">
        <x:v>17</x:v>
      </x:c>
      <x:c r="K4" s="2" t="str">
        <x:v>P0007: [Bug]: Sandbox mode passes wrong cwd to Pi SDK createAgentSession
See the evidence examples table for complete references and excerpts.
P0355: issue: Body params are not sent to tools using DELETE http method
See the evidence examples table for complete references and excerpts.</x:v>
      </x:c>
      <x:c r="L4" s="2" t="str">
        <x:v>https://github.com/openclaw/openclaw/issues/10136
E2: supported by implementation or reproduction clues in the original report; not experimentally confirmed
https://github.com/open-webui/open-webui/issues/18287
E2: supported by the original report/comments; not experimentally confirmed</x:v>
      </x:c>
    </x:row>
    <x:row r="5" ht="90" customHeight="1">
      <x:c r="A5" s="2" t="str">
        <x:v>C04</x:v>
      </x:c>
      <x:c r="B5" s="2" t="str">
        <x:v>Protocol adaptation inconsistencies</x:v>
      </x:c>
      <x:c r="C5" s="3" t="n">
        <x:v>32</x:v>
      </x:c>
      <x:c r="D5" s="4" t="n">
        <x:f>C5/SUM($C$2:$C$25)</x:f>
        <x:v>0.06387225548902195</x:v>
      </x:c>
      <x:c r="E5" s="2" t="str">
        <x:v>An adaptation layer violates the target service, model, or terminal's protocol or capability conventions.</x:v>
      </x:c>
      <x:c r="F5" s="2" t="str">
        <x:v>Responses/Chat differences, reasoning replay, terminal graphics protocols, or media-tokenization markers.</x:v>
      </x:c>
      <x:c r="G5" s="2" t="str">
        <x:v>Specific identifier-association defects (C05), general extension-SDK contracts (C19), or deployment prerequisites (C17).</x:v>
      </x:c>
      <x:c r="H5" s="2" t="str">
        <x:v>Use C04 when protocol/capability differences directly cause the defect; use C03 for an isolated omitted field that is not protocol-specific.</x:v>
      </x:c>
      <x:c r="I5" s="2" t="str">
        <x:v>Use C04 when protocol/capability differences directly cause the defect; use C03 for an isolated omitted field that is not protocol-specific.</x:v>
      </x:c>
      <x:c r="J5" s="2" t="n">
        <x:v>20</x:v>
      </x:c>
      <x:c r="K5" s="2" t="str">
        <x:v>P0399: google provider: replace `parameters`  -&gt; `paramatersJsonSchema` in tool calls
See the evidence examples table for complete references and excerpts.
P0468: Kitty image encoder hardcodes f=100 (PNG) — non-PNG images (JPEG/WebP/GIF/BMP) are silently discarded by the terminal
See the evidence examples table for complete references and excerpts.</x:v>
      </x:c>
      <x:c r="L5" s="2" t="str">
        <x:v>https://github.com/earendil-works/pi/issues/1398
E2: supported by the original report/comments; not experimentally confirmed
https://github.com/earendil-works/pi/issues/10292
E2: supported by the original report/comments; not experimentally confirmed</x:v>
      </x:c>
    </x:row>
    <x:row r="6" ht="90" customHeight="1">
      <x:c r="A6" s="2" t="str">
        <x:v>C05</x:v>
      </x:c>
      <x:c r="B6" s="2" t="str">
        <x:v>Identifier and association errors</x:v>
      </x:c>
      <x:c r="C6" s="3" t="n">
        <x:v>23</x:v>
      </x:c>
      <x:c r="D6" s="4" t="n">
        <x:f>C6/SUM($C$2:$C$25)</x:f>
        <x:v>0.04590818363273453</x:v>
      </x:c>
      <x:c r="E6" s="2" t="str">
        <x:v>Identifier collisions, faulty normalization, or call/result associations fail to preserve entity correspondence.</x:v>
      </x:c>
      <x:c r="F6" s="2" t="str">
        <x:v>Call-ID collisions, aliases, duplicate mounts/package deduplication, or incorrect trace correspondence.</x:v>
      </x:c>
      <x:c r="G6" s="2" t="str">
        <x:v>Unisolated mutable values (C06), or scope cleanup caused by a known timing defect (C11).</x:v>
      </x:c>
      <x:c r="H6" s="2" t="str">
        <x:v>Use C05 when the identifier invariant is primary; use C11 when a known lifecycle race causes ID reuse.</x:v>
      </x:c>
      <x:c r="I6" s="2" t="str">
        <x:v>Use C05 when the identifier invariant is primary; use C11 when a known lifecycle race causes ID reuse.</x:v>
      </x:c>
      <x:c r="J6" s="2" t="n">
        <x:v>15</x:v>
      </x:c>
      <x:c r="K6" s="2" t="str">
        <x:v>P0406: OpenAI Codex Responses replay can emit oversized call_id from resumed cross-provider history
See the evidence examples table for complete references and excerpts.
P0441: Anthropic tool-call ID normalization can collide for long foreign IDs
See the evidence examples table for complete references and excerpts.</x:v>
      </x:c>
      <x:c r="L6" s="2" t="str">
        <x:v>https://github.com/earendil-works/pi/issues/2328
E2: supported by the original report/comments; not experimentally confirmed
https://github.com/earendil-works/pi/issues/7002
E2: supported by the original report/comments; not experimentally confirmed</x:v>
      </x:c>
    </x:row>
    <x:row r="7" ht="90" customHeight="1">
      <x:c r="A7" s="2" t="str">
        <x:v>C06</x:v>
      </x:c>
      <x:c r="B7" s="2" t="str">
        <x:v>Mutable-state synchronization and isolation errors</x:v>
      </x:c>
      <x:c r="C7" s="3" t="n">
        <x:v>17</x:v>
      </x:c>
      <x:c r="D7" s="4" t="n">
        <x:f>C7/SUM($C$2:$C$25)</x:f>
        <x:v>0.033932135728542916</x:v>
      </x:c>
      <x:c r="E7" s="2" t="str">
        <x:v>Live mutable state is not synchronized between consumers or is shared across scopes.</x:v>
      </x:c>
      <x:c r="F7" s="2" t="str">
        <x:v>Stale switches after model changes, writable shared ctx, or state leaking between sessions.</x:v>
      </x:c>
      <x:c r="G7" s="2" t="str">
        <x:v>Explicit copied/frozen snapshots (C07), or database transactions (C24).</x:v>
      </x:c>
      <x:c r="H7" s="2" t="str">
        <x:v>Do not infer caching without evidence of a copied snapshot; focus on live-state synchronization or isolation.</x:v>
      </x:c>
      <x:c r="I7" s="2" t="str">
        <x:v>Do not infer caching without evidence of a copied snapshot; focus on live-state synchronization or isolation.</x:v>
      </x:c>
      <x:c r="J7" s="2" t="n">
        <x:v>14</x:v>
      </x:c>
      <x:c r="K7" s="2" t="str">
        <x:v>P0005: Bug: Skill env overrides can leak into subsequent runs
See the evidence examples table for complete references and excerpts.
P0452: Ctrl+T temporarily clears output from a running Bash tool
See the evidence examples table for complete references and excerpts.</x:v>
      </x:c>
      <x:c r="L7" s="2" t="str">
        <x:v>https://github.com/openclaw/openclaw/issues/8966
E2: supported by implementation or reproduction clues in the original report; not experimentally confirmed
https://github.com/earendil-works/pi/issues/8611
E2: supported by the original report/comments; not experimentally confirmed</x:v>
      </x:c>
    </x:row>
    <x:row r="8" ht="90" customHeight="1">
      <x:c r="A8" s="2" t="str">
        <x:v>C07</x:v>
      </x:c>
      <x:c r="B8" s="2" t="str">
        <x:v>Stale caches or snapshots</x:v>
      </x:c>
      <x:c r="C8" s="3" t="n">
        <x:v>13</x:v>
      </x:c>
      <x:c r="D8" s="4" t="n">
        <x:f>C8/SUM($C$2:$C$25)</x:f>
        <x:v>0.02594810379241517</x:v>
      </x:c>
      <x:c r="E8" s="2" t="str">
        <x:v>Copied, cached, or construction-time values are not invalidated or rebuilt when their source changes.</x:v>
      </x:c>
      <x:c r="F8" s="2" t="str">
        <x:v>Static tools arrays within a run, cwd captured during construction, or unrefreshed description caches.</x:v>
      </x:c>
      <x:c r="G8" s="2" t="str">
        <x:v>General divergence of live state (C06), or context selection/compaction (C08).</x:v>
      </x:c>
      <x:c r="H8" s="2" t="str">
        <x:v>Identify the actual cache/snapshot and missing update; staleness alone does not establish this mechanism.</x:v>
      </x:c>
      <x:c r="I8" s="2" t="str">
        <x:v>Identify the actual cache/snapshot and missing update; staleness alone does not establish this mechanism.</x:v>
      </x:c>
      <x:c r="J8" s="2" t="n">
        <x:v>8</x:v>
      </x:c>
      <x:c r="K8" s="2" t="str">
        <x:v>P0411: LLM bash tool uses stale cwd after process.chdir() — extensions cannot change working directory for tool execution
See the evidence examples table for complete references and excerpts.
P0423: Make agent.state.tools mutations visible to the running agent loop
See the evidence examples table for complete references and excerpts.</x:v>
      </x:c>
      <x:c r="L8" s="2" t="str">
        <x:v>https://github.com/earendil-works/pi/issues/2619
E2: supported by implementation or reproduction clues in the original report; not experimentally confirmed
https://github.com/earendil-works/pi/issues/4147
E2: supported by the original report/comments; not experimentally confirmed</x:v>
      </x:c>
    </x:row>
    <x:row r="9" ht="90" customHeight="1">
      <x:c r="A9" s="2" t="str">
        <x:v>C08</x:v>
      </x:c>
      <x:c r="B9" s="2" t="str">
        <x:v>Context selection and injection errors</x:v>
      </x:c>
      <x:c r="C9" s="3" t="n">
        <x:v>23</x:v>
      </x:c>
      <x:c r="D9" s="4" t="n">
        <x:f>C9/SUM($C$2:$C$25)</x:f>
        <x:v>0.04590818363273453</x:v>
      </x:c>
      <x:c r="E9" s="2" t="str">
        <x:v>Context selection, ordering, compaction boundaries, or injection locations are inappropriate for model input.</x:v>
      </x:c>
      <x:c r="F9" s="2" t="str">
        <x:v>History trimming, dynamic prompt prefixes, missing compaction, or repeated memory injection.</x:v>
      </x:c>
      <x:c r="G9" s="2" t="str">
        <x:v>Explicit state caches (C07), or protocol-only role conversion (C04).</x:v>
      </x:c>
      <x:c r="H9" s="2" t="str">
        <x:v>Use C08 for conversation-content selection or compaction boundaries; resource-budget exhaustion itself belongs to C20.</x:v>
      </x:c>
      <x:c r="I9" s="2" t="str">
        <x:v>Use C08 for conversation-content selection or compaction boundaries; resource-budget exhaustion itself belongs to C20.</x:v>
      </x:c>
      <x:c r="J9" s="2" t="n">
        <x:v>14</x:v>
      </x:c>
      <x:c r="K9" s="2" t="str">
        <x:v>P0108: Subagent completion events silently killed by NO_REPLY instruction after sessions_yield
See the evidence examples table for complete references and excerpts.
P0459: Mid-run threshold compaction silently no-ops when the newest turn's tool results exceed keepRecentTokens
See the evidence examples table for complete references and excerpts.</x:v>
      </x:c>
      <x:c r="L9" s="2" t="str">
        <x:v>https://github.com/openclaw/openclaw/issues/109186
E2: supported by implementation or reproduction clues in the original report; not experimentally confirmed
https://github.com/earendil-works/pi/issues/9740
E2: supported by the original report/comments; not experimentally confirmed</x:v>
      </x:c>
    </x:row>
    <x:row r="10" ht="90" customHeight="1">
      <x:c r="A10" s="2" t="str">
        <x:v>C09</x:v>
      </x:c>
      <x:c r="B10" s="2" t="str">
        <x:v>Discovery and loading rule errors</x:v>
      </x:c>
      <x:c r="C10" s="3" t="n">
        <x:v>19</x:v>
      </x:c>
      <x:c r="D10" s="4" t="n">
        <x:f>C10/SUM($C$2:$C$25)</x:f>
        <x:v>0.03792415169660679</x:v>
      </x:c>
      <x:c r="E10" s="2" t="str">
        <x:v>Discovery/loading rules wrongly include, omit, override, or access resources outside their intended scope.</x:v>
      </x:c>
      <x:c r="F10" s="2" t="str">
        <x:v>Traversal ignore rules, nested SKILL overrides, global-over-local precedence, or incomplete indexing scope.</x:v>
      </x:c>
      <x:c r="G10" s="2" t="str">
        <x:v>Duplicate resource identities (C05), or files absent from the package itself (C21).</x:v>
      </x:c>
      <x:c r="H10" s="2" t="str">
        <x:v>Use C09 for rules determining eligible sources/resources; do not name categories solely after the Skill-loader component.</x:v>
      </x:c>
      <x:c r="I10" s="2" t="str">
        <x:v>Use C09 for rules determining eligible sources/resources; do not name categories solely after the Skill-loader component.</x:v>
      </x:c>
      <x:c r="J10" s="2" t="n">
        <x:v>10</x:v>
      </x:c>
      <x:c r="K10" s="2" t="str">
        <x:v>P0115: [Bug]: Control UI slash-command search ranks lower-relevance results above exact matches
See the evidence examples table for complete references and excerpts.
P0404: Skill loading: Prefer root SKILL.md over nested when both exist in hierarchy
See the evidence examples table for complete references and excerpts.</x:v>
      </x:c>
      <x:c r="L10" s="2" t="str">
        <x:v>https://github.com/openclaw/openclaw/issues/120750
E2: supported by implementation or reproduction clues in the original report; not experimentally confirmed
https://github.com/earendil-works/pi/issues/2075
E2: supported by implementation or reproduction clues in the original report; not experimentally confirmed</x:v>
      </x:c>
    </x:row>
    <x:row r="11" ht="90" customHeight="1">
      <x:c r="A11" s="2" t="str">
        <x:v>C10</x:v>
      </x:c>
      <x:c r="B11" s="2" t="str">
        <x:v>Incorrect control-flow transitions</x:v>
      </x:c>
      <x:c r="C11" s="3" t="n">
        <x:v>34</x:v>
      </x:c>
      <x:c r="D11" s="4" t="n">
        <x:f>C11/SUM($C$2:$C$25)</x:f>
        <x:v>0.06786427145708583</x:v>
      </x:c>
      <x:c r="E11" s="2" t="str">
        <x:v>Sequential branches, state transitions, or stopping conditions put a task on an incorrect execution path.</x:v>
      </x:c>
      <x:c r="F11" s="2" t="str">
        <x:v>Missing consumers, unread queues, non-idempotent toggle operations, or retry-termination conditions.</x:v>
      </x:c>
      <x:c r="G11" s="2" t="str">
        <x:v>Concurrency/locking defects (C11), or unreleased resource handles (C20).</x:v>
      </x:c>
      <x:c r="H11" s="2" t="str">
        <x:v>Use C10 for an established error in sequential logic; do not infer races without a timing mechanism.</x:v>
      </x:c>
      <x:c r="I11" s="2" t="str">
        <x:v>Use C10 for an established error in sequential logic; do not infer races without a timing mechanism.</x:v>
      </x:c>
      <x:c r="J11" s="2" t="n">
        <x:v>15</x:v>
      </x:c>
      <x:c r="K11" s="2" t="str">
        <x:v>P0013: [Bug]: Plugin hooks: 9 of 14 registered hook types are never invoked (silent no-op)
See the evidence examples table for complete references and excerpts.
P0449: Agent loop retries length-truncated tool calls without a bound
See the evidence examples table for complete references and excerpts.</x:v>
      </x:c>
      <x:c r="L11" s="2" t="str">
        <x:v>https://github.com/openclaw/openclaw/issues/14571
E2: supported by implementation or reproduction clues in the original report; not experimentally confirmed
https://github.com/earendil-works/pi/issues/8111
E2: supported by implementation or reproduction clues in the original report; not experimentally confirmed</x:v>
      </x:c>
    </x:row>
    <x:row r="12" ht="90" customHeight="1">
      <x:c r="A12" s="2" t="str">
        <x:v>C11</x:v>
      </x:c>
      <x:c r="B12" s="2" t="str">
        <x:v>Asynchronous lifecycle races</x:v>
      </x:c>
      <x:c r="C12" s="3" t="n">
        <x:v>27</x:v>
      </x:c>
      <x:c r="D12" s="4" t="n">
        <x:f>C12/SUM($C$2:$C$25)</x:f>
        <x:v>0.05389221556886228</x:v>
      </x:c>
      <x:c r="E12" s="2" t="str">
        <x:v>Execution/cleanup ordering, concurrent access, or lock waits violate correctness.</x:v>
      </x:c>
      <x:c r="F12" s="2" t="str">
        <x:v>TOCTOU, premature resolve/stream destruction, late events, or waiting on oneself.</x:v>
      </x:c>
      <x:c r="G12" s="2" t="str">
        <x:v>Single-threaded sequential branching (C10), or identifier-generation rules themselves (C05).</x:v>
      </x:c>
      <x:c r="H12" s="2" t="str">
        <x:v>Identify the competing entities or lifecycle order; intermittency alone does not establish a race.</x:v>
      </x:c>
      <x:c r="I12" s="2" t="str">
        <x:v>Identify the competing entities or lifecycle order; intermittency alone does not establish a race.</x:v>
      </x:c>
      <x:c r="J12" s="2" t="n">
        <x:v>15</x:v>
      </x:c>
      <x:c r="K12" s="2" t="str">
        <x:v>P0405: Parallel edit tool calls on the same file overwrite each other
See the evidence examples table for complete references and excerpts.
P0433: Stale tool_execution_update after run settlement can crash host
See the evidence examples table for complete references and excerpts.</x:v>
      </x:c>
      <x:c r="L12" s="2" t="str">
        <x:v>https://github.com/earendil-works/pi/issues/2327
E2: supported by the original report/comments; not experimentally confirmed
https://github.com/earendil-works/pi/issues/5573
E2: supported by the original report/comments; not experimentally confirmed</x:v>
      </x:c>
    </x:row>
    <x:row r="13" ht="90" customHeight="1">
      <x:c r="A13" s="2" t="str">
        <x:v>C12</x:v>
      </x:c>
      <x:c r="B13" s="2" t="str">
        <x:v>Missing exception or boundary handling</x:v>
      </x:c>
      <x:c r="C13" s="3" t="n">
        <x:v>24</x:v>
      </x:c>
      <x:c r="D13" s="4" t="n">
        <x:f>C13/SUM($C$2:$C$25)</x:f>
        <x:v>0.04790419161676647</x:v>
      </x:c>
      <x:c r="E13" s="2" t="str">
        <x:v>Required guards are missing for null/default values, special exits, or exception paths.</x:v>
      </x:c>
      <x:c r="F13" s="2" t="str">
        <x:v>None, undefined, StopIteration, or uncaught exceptions when no result is available.</x:v>
      </x:c>
      <x:c r="G13" s="2" t="str">
        <x:v>Known structural-contract mismatches (C02), or intentionally misleading success feedback (C13).</x:v>
      </x:c>
      <x:c r="H13" s="2" t="str">
        <x:v>Use C12 for a direct missing guard/except without a more specific mechanism; do not assign all crashes here.</x:v>
      </x:c>
      <x:c r="I13" s="2" t="str">
        <x:v>Use C12 for a direct missing guard/except without a more specific mechanism; do not assign all crashes here.</x:v>
      </x:c>
      <x:c r="J13" s="2" t="n">
        <x:v>13</x:v>
      </x:c>
      <x:c r="K13" s="2" t="str">
        <x:v>P0453: anthropic-messages convertTools crashes on extension tools registered without parameters
See the evidence examples table for complete references and excerpts.
P0467: codemode.image() accepts invalid base64, causing subsequent turns to fail with HTTP 400
See the evidence examples table for complete references and excerpts.</x:v>
      </x:c>
      <x:c r="L13" s="2" t="str">
        <x:v>https://github.com/earendil-works/pi/issues/8666
E2: supported by the original report/comments; not experimentally confirmed
https://github.com/earendil-works/pi/issues/10215
E2: supported by the original report/comments; not experimentally confirmed</x:v>
      </x:c>
    </x:row>
    <x:row r="14" ht="90" customHeight="1">
      <x:c r="A14" s="2" t="str">
        <x:v>C13</x:v>
      </x:c>
      <x:c r="B14" s="2" t="str">
        <x:v>Incomplete error and result feedback</x:v>
      </x:c>
      <x:c r="C14" s="3" t="n">
        <x:v>12</x:v>
      </x:c>
      <x:c r="D14" s="4" t="n">
        <x:f>C14/SUM($C$2:$C$25)</x:f>
        <x:v>0.023952095808383235</x:v>
      </x:c>
      <x:c r="E14" s="2" t="str">
        <x:v>Actual errors or statuses are not fully converted into feedback understandable to the caller.</x:v>
      </x:c>
      <x:c r="F14" s="2" t="str">
        <x:v>False success, swallowed errors, unrelated diagnostic substitution, or omitted citation metadata.</x:v>
      </x:c>
      <x:c r="G14" s="2" t="str">
        <x:v>Delivery formats for business files/images (C14), or guards for the original exception (C12).</x:v>
      </x:c>
      <x:c r="H14" s="2" t="str">
        <x:v>The primary mechanism is interpretation/feedback of errors or status, not failure of the underlying operation itself.</x:v>
      </x:c>
      <x:c r="I14" s="2" t="str">
        <x:v>The primary mechanism is interpretation/feedback of errors or status, not failure of the underlying operation itself.</x:v>
      </x:c>
      <x:c r="J14" s="2" t="n">
        <x:v>7</x:v>
      </x:c>
      <x:c r="K14" s="2" t="str">
        <x:v>P0164: Slash-skill load failures are queued as input instead of surfacing an error
See the evidence examples table for complete references and excerpts.
P0460: find and grep tools have no timeout mechanism and can return an error-free empty result when killed
See the evidence examples table for complete references and excerpts.</x:v>
      </x:c>
      <x:c r="L14" s="2" t="str">
        <x:v>https://github.com/NousResearch/hermes-agent/issues/14713
E2: supported by implementation or reproduction clues in the original report; not experimentally confirmed
https://github.com/earendil-works/pi/issues/9770
E2: supported by the original report/comments; not experimentally confirmed</x:v>
      </x:c>
    </x:row>
    <x:row r="15" ht="90" customHeight="1">
      <x:c r="A15" s="2" t="str">
        <x:v>C14</x:v>
      </x:c>
      <x:c r="B15" s="2" t="str">
        <x:v>Incomplete artifact-delivery conversion</x:v>
      </x:c>
      <x:c r="C15" s="3" t="n">
        <x:v>8</x:v>
      </x:c>
      <x:c r="D15" s="4" t="n">
        <x:f>C15/SUM($C$2:$C$25)</x:f>
        <x:v>0.015968063872255488</x:v>
      </x:c>
      <x:c r="E15" s="2" t="str">
        <x:v>An existing business result is not fully converted into a form that can be displayed, downloaded, or consumed downstream.</x:v>
      </x:c>
      <x:c r="F15" s="2" t="str">
        <x:v>Lost files, binary links converted to text, missing attachments, or omitted long content in display.</x:v>
      </x:c>
      <x:c r="G15" s="2" t="str">
        <x:v>Unsupported target-terminal protocols (C04), or feedback limited to error status (C13).</x:v>
      </x:c>
      <x:c r="H15" s="2" t="str">
        <x:v>Require a conversion/delivery gap between an existing generated artifact and its consumption; lack of generation alone does not qualify.</x:v>
      </x:c>
      <x:c r="I15" s="2" t="str">
        <x:v>Require a conversion/delivery gap between an existing generated artifact and its consumption; lack of generation alone does not qualify.</x:v>
      </x:c>
      <x:c r="J15" s="2" t="n">
        <x:v>6</x:v>
      </x:c>
      <x:c r="K15" s="2" t="str">
        <x:v>P0293: Files variable Custom tool produced cannot be recognized correctlly
See the evidence examples table for complete references and excerpts.
P0308: [bug] workflow as tool `files` field return is empty
See the evidence examples table for complete references and excerpts.</x:v>
      </x:c>
      <x:c r="L15" s="2" t="str">
        <x:v>https://github.com/langgenius/dify/issues/18375
E2: supported by the original report/comments; not experimentally confirmed
https://github.com/langgenius/dify/issues/26431
E2: supported by the original report/comments; not experimentally confirmed</x:v>
      </x:c>
    </x:row>
    <x:row r="16" ht="90" customHeight="1">
      <x:c r="A16" s="2" t="str">
        <x:v>C15</x:v>
      </x:c>
      <x:c r="B16" s="2" t="str">
        <x:v>Flawed security or authorization boundary checks</x:v>
      </x:c>
      <x:c r="C16" s="3" t="n">
        <x:v>31</x:v>
      </x:c>
      <x:c r="D16" s="4" t="n">
        <x:f>C16/SUM($C$2:$C$25)</x:f>
        <x:v>0.06187624750499002</x:v>
      </x:c>
      <x:c r="E16" s="2" t="str">
        <x:v>Permission, authentication, trust, or sensitive-information checks are missing or incorrect.</x:v>
      </x:c>
      <x:c r="F16" s="2" t="str">
        <x:v>OAuth invalidation rules, unauthorized APIs, path/URL boundaries, secret redaction, or prompt-injection boundaries.</x:v>
      </x:c>
      <x:c r="G16" s="2" t="str">
        <x:v>Credentials/certificates not supplied by the user (C17), or ordinary configuration not being read (C16).</x:v>
      </x:c>
      <x:c r="H16" s="2" t="str">
        <x:v>The mechanism may wrongly reject or allow an operation; the category does not prescribe the failure's direction.</x:v>
      </x:c>
      <x:c r="I16" s="2" t="str">
        <x:v>The mechanism may wrongly reject or allow an operation; the category does not prescribe the failure's direction.</x:v>
      </x:c>
      <x:c r="J16" s="2" t="n">
        <x:v>22</x:v>
      </x:c>
      <x:c r="K16" s="2" t="str">
        <x:v>P0021: config.get leaks sensitive env values in catchall/dynamic config paths
See the evidence examples table for complete references and excerpts.
P0360: Security: Missing Tool Access Control in /api/chat/completions - API bypasses UI restrictions
See the evidence examples table for complete references and excerpts.</x:v>
      </x:c>
      <x:c r="L16" s="2" t="str">
        <x:v>https://github.com/openclaw/openclaw/issues/24477
E2: supported by implementation or reproduction clues in the original report; not experimentally confirmed
https://github.com/open-webui/open-webui/issues/20443
E2: supported by the original report/comments; not experimentally confirmed</x:v>
      </x:c>
    </x:row>
    <x:row r="17" ht="106" customHeight="1">
      <x:c r="A17" s="2" t="str">
        <x:v>C16</x:v>
      </x:c>
      <x:c r="B17" s="2" t="str">
        <x:v>Configuration handling errors</x:v>
      </x:c>
      <x:c r="C17" s="3" t="n">
        <x:v>29</x:v>
      </x:c>
      <x:c r="D17" s="4" t="n">
        <x:f>C17/SUM($C$2:$C$25)</x:f>
        <x:v>0.05788423153692615</x:v>
      </x:c>
      <x:c r="E17" s="2" t="str">
        <x:v>Existing configuration is read, merged, propagated, or mapped inconsistently with its intended semantics.</x:v>
      </x:c>
      <x:c r="F17" s="2" t="str">
        <x:v>Hard-coded limits ignoring settings, incorrect environment-variable names, model-override mismatches, or default fallbacks.</x:v>
      </x:c>
      <x:c r="G17" s="2" t="str">
        <x:v>Genuinely absent environmental prerequisites (C17), or synchronization of live switches (C06).</x:v>
      </x:c>
      <x:c r="H17" s="2" t="str">
        <x:v>Identify the mechanism between consumed configuration and effective behavior; absent user configuration is not automatically C16.</x:v>
      </x:c>
      <x:c r="I17" s="2" t="str">
        <x:v>Identify the mechanism between consumed configuration and effective behavior; absent user configuration is not automatically C16.</x:v>
      </x:c>
      <x:c r="J17" s="2" t="n">
        <x:v>14</x:v>
      </x:c>
      <x:c r="K17" s="2" t="str">
        <x:v>P0235: [Bug]: `hermes doctor` flags supported top-level config keys `group_sessions_per_user` and `known_plugin_toolsets` as unknown
See the evidence examples table for complete references and excerpts.
P0445: 400: reasoning_content must be passed back for DeepSeek models via opencode zen gateway
See the evidence examples table for complete references and excerpts.</x:v>
      </x:c>
      <x:c r="L17" s="2" t="str">
        <x:v>https://github.com/NousResearch/hermes-agent/issues/67397
E2: supported by implementation or reproduction clues in the original report; not experimentally confirmed
https://github.com/earendil-works/pi/issues/7702#issuecomment-5203581512
E2: supported by the original report/comments; not experimentally confirmed</x:v>
      </x:c>
    </x:row>
    <x:row r="18" ht="90" customHeight="1">
      <x:c r="A18" s="2" t="str">
        <x:v>C17</x:v>
      </x:c>
      <x:c r="B18" s="2" t="str">
        <x:v>Unmet environmental prerequisites</x:v>
      </x:c>
      <x:c r="C18" s="3" t="n">
        <x:v>21</x:v>
      </x:c>
      <x:c r="D18" s="4" t="n">
        <x:f>C18/SUM($C$2:$C$25)</x:f>
        <x:v>0.041916167664670656</x:v>
      </x:c>
      <x:c r="E18" s="2" t="str">
        <x:v>Required network access, credentials, dependency versions, or deployment configuration are unavailable.</x:v>
      </x:c>
      <x:c r="F18" s="2" t="str">
        <x:v>Untrusted certificates, unset keys, unreachable networks, or missing dependency-layer symbols.</x:v>
      </x:c>
      <x:c r="G18" s="2" t="str">
        <x:v>Incompatible platform-specific invocation implementations (C18), or omitted package artifacts (C21).</x:v>
      </x:c>
      <x:c r="H18" s="2" t="str">
        <x:v>Identify the unmet prerequisite; a connection error or timeout alone is insufficient to establish it.</x:v>
      </x:c>
      <x:c r="I18" s="2" t="str">
        <x:v>Identify the unmet prerequisite; a connection error or timeout alone is insufficient to establish it.</x:v>
      </x:c>
      <x:c r="J18" s="2" t="n">
        <x:v>8</x:v>
      </x:c>
      <x:c r="K18" s="2" t="str">
        <x:v>P0248: Ability to Toggle SSL verification when making HTTP requests
See the evidence examples table for complete references and excerpts.
P0330: ImportError: cannot import name 'DIFY_PLUGIN_TOOLS_LAYER_TYPE_ID' from 'dify_agent.layers.dify_plugin'
See the evidence examples table for complete references and excerpts.</x:v>
      </x:c>
      <x:c r="L18" s="2" t="str">
        <x:v>https://github.com/langgenius/dify/issues/3908
E2: supported by the original report/comments; not experimentally confirmed
https://github.com/langgenius/dify/issues/36718
E2: supported by the original report/comments; not experimentally confirmed</x:v>
      </x:c>
    </x:row>
    <x:row r="19" ht="90" customHeight="1">
      <x:c r="A19" s="2" t="str">
        <x:v>C18</x:v>
      </x:c>
      <x:c r="B19" s="2" t="str">
        <x:v>Platform, path, or process incompatibilities</x:v>
      </x:c>
      <x:c r="C19" s="3" t="n">
        <x:v>23</x:v>
      </x:c>
      <x:c r="D19" s="4" t="n">
        <x:f>C19/SUM($C$2:$C$25)</x:f>
        <x:v>0.04590818363273453</x:v>
      </x:c>
      <x:c r="E19" s="2" t="str">
        <x:v>An implementation assumes incompatible operating-system, path, or process-launch conventions.</x:v>
      </x:c>
      <x:c r="F19" s="2" t="str">
        <x:v>Windows shell/batch-file launching, path rules, fetch receivers, or default consoles.</x:v>
      </x:c>
      <x:c r="G19" s="2" t="str">
        <x:v>Target API protocol differences (C04), or runtime resource limits (C20).</x:v>
      </x:c>
      <x:c r="H19" s="2" t="str">
        <x:v>Select a direct violation of platform conventions; not all Windows failures belong here.</x:v>
      </x:c>
      <x:c r="I19" s="2" t="str">
        <x:v>Select a direct violation of platform conventions; not all Windows failures belong here.</x:v>
      </x:c>
      <x:c r="J19" s="2" t="n">
        <x:v>13</x:v>
      </x:c>
      <x:c r="K19" s="2" t="str">
        <x:v>P0435: Package Report: pi-maven [Bug] maven_run tool fails on Windows with ENOENT error when spawning mvn
See the evidence examples table for complete references and excerpts.
P0465: pi-mcp: StreamableHttpTransport fails with "Illegal invocation" on Cloudflare Workers
See the evidence examples table for complete references and excerpts.</x:v>
      </x:c>
      <x:c r="L19" s="2" t="str">
        <x:v>https://github.com/earendil-works/pi/issues/5806
E2: supported by implementation or reproduction clues in the original report; not experimentally confirmed
https://github.com/earendil-works/pi/issues/10188
E2: supported by the original report/comments; not experimentally confirmed</x:v>
      </x:c>
    </x:row>
    <x:row r="20" ht="106" customHeight="1">
      <x:c r="A20" s="2" t="str">
        <x:v>C19</x:v>
      </x:c>
      <x:c r="B20" s="2" t="str">
        <x:v>Extension or API interface incompatibilities</x:v>
      </x:c>
      <x:c r="C20" s="3" t="n">
        <x:v>14</x:v>
      </x:c>
      <x:c r="D20" s="4" t="n">
        <x:f>C20/SUM($C$2:$C$25)</x:f>
        <x:v>0.027944111776447105</x:v>
      </x:c>
      <x:c r="E20" s="2" t="str">
        <x:v>Extension/host signatures, exported capabilities, or calling conventions do not interoperate correctly.</x:v>
      </x:c>
      <x:c r="F20" s="2" t="str">
        <x:v>Changed SDK callbacks, adapter keyword arguments, or capability gaps between UI/backend interfaces.</x:v>
      </x:c>
      <x:c r="G20" s="2" t="str">
        <x:v>Value shapes (C02), specifically omitted fields (C03), or service protocols (C04).</x:v>
      </x:c>
      <x:c r="H20" s="2" t="str">
        <x:v>The interface boundary must be the direct mechanism; plugin involvement alone does not justify C19.</x:v>
      </x:c>
      <x:c r="I20" s="2" t="str">
        <x:v>The interface boundary must be the direct mechanism; plugin involvement alone does not justify C19.</x:v>
      </x:c>
      <x:c r="J20" s="2" t="n">
        <x:v>6</x:v>
      </x:c>
      <x:c r="K20" s="2" t="str">
        <x:v>P0365: issue: NameError: name 'has_access' is not defined in routers/tools.py — Tools not visible to non-admin users (500 on GET /api/v1/tools/)
See the evidence examples table for complete references and excerpts.
P0398: Bash tool crashes when `onUpdate` is truthy but not a function
See the evidence examples table for complete references and excerpts.</x:v>
      </x:c>
      <x:c r="L20" s="2" t="str">
        <x:v>https://github.com/open-webui/open-webui/commit/67e26fd3af8fc156958297b84903b70ce959590d
E3: repair diff reviewed
https://github.com/earendil-works/pi/issues/1233
E2: supported by the original report/comments; not experimentally confirmed</x:v>
      </x:c>
    </x:row>
    <x:row r="21" ht="106" customHeight="1">
      <x:c r="A21" s="2" t="str">
        <x:v>C20</x:v>
      </x:c>
      <x:c r="B21" s="2" t="str">
        <x:v>Insufficient resource control</x:v>
      </x:c>
      <x:c r="C21" s="3" t="n">
        <x:v>26</x:v>
      </x:c>
      <x:c r="D21" s="4" t="n">
        <x:f>C21/SUM($C$2:$C$25)</x:f>
        <x:v>0.05189620758483034</x:v>
      </x:c>
      <x:c r="E21" s="2" t="str">
        <x:v>Capacity/time budgets or resource-release mechanisms fail to constrain resource use.</x:v>
      </x:c>
      <x:c r="F21" s="2" t="str">
        <x:v>Quadratic stream accumulation, unbounded caches/output, exhausted file descriptors, or unreleased handles.</x:v>
      </x:c>
      <x:c r="G21" s="2" t="str">
        <x:v>Explicit configuration being ignored (C16), or compaction-boundary logic (C08).</x:v>
      </x:c>
      <x:c r="H21" s="2" t="str">
        <x:v>Focus on the direct cost/resource/budget mechanism; prefer C10 for an unbounded retry branch.</x:v>
      </x:c>
      <x:c r="I21" s="2" t="str">
        <x:v>Focus on the direct cost/resource/budget mechanism; prefer C10 for an unbounded retry branch.</x:v>
      </x:c>
      <x:c r="J21" s="2" t="n">
        <x:v>11</x:v>
      </x:c>
      <x:c r="K21" s="2" t="str">
        <x:v>P0418: coding-agent: session replay can crash with RangeError in sanitizeBinaryOutput on huge toolResult
See the evidence examples table for complete references and excerpts.
P0443: JSON mode serializes cumulative assistant state on every delta, causing quadratic output and long stdout drains
See the evidence examples table for complete references and excerpts.</x:v>
      </x:c>
      <x:c r="L21" s="2" t="str">
        <x:v>https://github.com/earendil-works/pi/issues/3156
E2: supported by the original report/comments; not experimentally confirmed
https://github.com/earendil-works/pi/issues/7395
E2: supported by the original report/comments; not experimentally confirmed</x:v>
      </x:c>
    </x:row>
    <x:row r="22" ht="90" customHeight="1">
      <x:c r="A22" s="2" t="str">
        <x:v>C21</x:v>
      </x:c>
      <x:c r="B22" s="2" t="str">
        <x:v>Incomplete distribution or update protections</x:v>
      </x:c>
      <x:c r="C22" s="3" t="n">
        <x:v>16</x:v>
      </x:c>
      <x:c r="D22" s="4" t="n">
        <x:f>C22/SUM($C$2:$C$25)</x:f>
        <x:v>0.031936127744510975</x:v>
      </x:c>
      <x:c r="E22" s="2" t="str">
        <x:v>Asset, manifest, or write protections fail to preserve artifact completeness during distribution or updates.</x:v>
      </x:c>
      <x:c r="F22" s="2" t="str">
        <x:v>Missing package files/download assets, updates overwriting user directories, or installation synchronization deleting directories.</x:v>
      </x:c>
      <x:c r="G22" s="2" t="str">
        <x:v>Shared runtime state (C06), or missing external dependencies during normal invocation (C17).</x:v>
      </x:c>
      <x:c r="H22" s="2" t="str">
        <x:v>The mechanism lies in a distribution operation; annotate stage and symptom separately.</x:v>
      </x:c>
      <x:c r="I22" s="2" t="str">
        <x:v>The mechanism lies in a distribution operation; annotate stage and symptom separately.</x:v>
      </x:c>
      <x:c r="J22" s="2" t="n">
        <x:v>8</x:v>
      </x:c>
      <x:c r="K22" s="2" t="str">
        <x:v>P0179: [Bug]: MANIFEST.in missing ui-tui/ and scripts/ — hermes --tui crashes after pip install
See the evidence examples table for complete references and excerpts.
P0201: [Bug]: Nix package missing hermes_cli.dashboard_auth, causing `hermes dashboard` to fail
See the evidence examples table for complete references and excerpts.</x:v>
      </x:c>
      <x:c r="L22" s="2" t="str">
        <x:v>https://github.com/NousResearch/hermes-agent/issues/19514
E2: supported by implementation or reproduction clues in the original report; not experimentally confirmed
https://github.com/NousResearch/hermes-agent/issues/34857
E2: supported by implementation or reproduction clues in the original report; not experimentally confirmed</x:v>
      </x:c>
    </x:row>
    <x:row r="23" ht="122" customHeight="1">
      <x:c r="A23" s="2" t="str">
        <x:v>C22</x:v>
      </x:c>
      <x:c r="B23" s="2" t="str">
        <x:v>Model interpretation or generation errors</x:v>
      </x:c>
      <x:c r="C23" s="3" t="n">
        <x:v>2</x:v>
      </x:c>
      <x:c r="D23" s="4" t="n">
        <x:f>C23/SUM($C$2:$C$25)</x:f>
        <x:v>0.003992015968063872</x:v>
      </x:c>
      <x:c r="E23" s="2" t="str">
        <x:v>Evidence shows model generation/interpretation departing from the actual tool contract or user objective.</x:v>
      </x:c>
      <x:c r="F23" s="2" t="str">
        <x:v>A maintainer confirms correct host declarations but the model invents execution; incorrect target inference; model-generated invalid edit input.</x:v>
      </x:c>
      <x:c r="G23" s="2" t="str">
        <x:v>Tool nonuse alone, correlation with a model name, or an upstream service error is insufficient.</x:v>
      </x:c>
      <x:c r="H23" s="2" t="str">
        <x:v>Require the input/contract, model output, and evidence excluding host-assembly defects; use U1 when evidence is insufficient.</x:v>
      </x:c>
      <x:c r="I23" s="2" t="str">
        <x:v>Require the input/contract, model output, and evidence excluding host-assembly defects; use U1 when evidence is insufficient.</x:v>
      </x:c>
      <x:c r="J23" s="2" t="n">
        <x:v>2</x:v>
      </x:c>
      <x:c r="K23" s="2" t="str">
        <x:v>P0420: -nbt doesn't remove the built in tool context
See the evidence examples table for complete references and excerpts.
P0422: Openrouter Minimax 2.7 throws edit oldText error
See the evidence examples table for complete references and excerpts.</x:v>
      </x:c>
      <x:c r="L23" s="2" t="str">
        <x:v>https://github.com/earendil-works/pi/issues/4020#issuecomment-4355565789
E2: supported by the original report/comments; not experimentally confirmed
https://github.com/earendil-works/pi/issues/4058#issuecomment-4360594376
E2: supported by the original report/comments; not experimentally confirmed</x:v>
      </x:c>
    </x:row>
    <x:row r="24" ht="90" customHeight="1">
      <x:c r="A24" s="2" t="str">
        <x:v>C23</x:v>
      </x:c>
      <x:c r="B24" s="2" t="str">
        <x:v>Incorrect operational guidance</x:v>
      </x:c>
      <x:c r="C24" s="3" t="n">
        <x:v>13</x:v>
      </x:c>
      <x:c r="D24" s="4" t="n">
        <x:f>C24/SUM($C$2:$C$25)</x:f>
        <x:v>0.02594810379241517</x:v>
      </x:c>
      <x:c r="E24" s="2" t="str">
        <x:v>Operational instructions promise an invocation method inconsistent with the supported interface.</x:v>
      </x:c>
      <x:c r="F24" s="2" t="str">
        <x:v>Ineffective doctor guidance, incorrect Slack commands, or authentication instructions lacking required branches.</x:v>
      </x:c>
      <x:c r="G24" s="2" t="str">
        <x:v>Actual routing defects (C09/C10); review eligibility before treating an unimplemented feature as a failure.</x:v>
      </x:c>
      <x:c r="H24" s="2" t="str">
        <x:v>Incorrect guidance must directly induce failure; user misunderstanding alone does not establish a documentation defect.</x:v>
      </x:c>
      <x:c r="I24" s="2" t="str">
        <x:v>Incorrect guidance must directly induce failure; user misunderstanding alone does not establish a documentation defect.</x:v>
      </x:c>
      <x:c r="J24" s="2" t="n">
        <x:v>5</x:v>
      </x:c>
      <x:c r="K24" s="2" t="str">
        <x:v>P0132: Bug: `hermes skills list` does not initialize `.hub` even though `doctor` recommends it
See the evidence examples table for complete references and excerpts.
P0373: issue: Ollama Cloud Web Search does not work
See the evidence examples table for complete references and excerpts.</x:v>
      </x:c>
      <x:c r="L24" s="2" t="str">
        <x:v>https://github.com/NousResearch/hermes-agent/issues/703
E2: supported by implementation or reproduction clues in the original report; not experimentally confirmed
https://github.com/open-webui/open-webui/issues/25994
E2: supported by the original report/comments; not experimentally confirmed</x:v>
      </x:c>
    </x:row>
    <x:row r="25" ht="106" customHeight="1">
      <x:c r="A25" s="2" t="str">
        <x:v>C24</x:v>
      </x:c>
      <x:c r="B25" s="2" t="str">
        <x:v>Persistence inconsistencies</x:v>
      </x:c>
      <x:c r="C25" s="3" t="n">
        <x:v>6</x:v>
      </x:c>
      <x:c r="D25" s="4" t="n">
        <x:f>C25/SUM($C$2:$C$25)</x:f>
        <x:v>0.011976047904191617</x:v>
      </x:c>
      <x:c r="E25" s="2" t="str">
        <x:v>Database/log persistence, transaction, or recovery semantics break data consistency.</x:v>
      </x:c>
      <x:c r="F25" s="2" t="str">
        <x:v>ORM commits/entity lifecycles, shared SQLite transactions, or missing recovered-entry fields.</x:v>
      </x:c>
      <x:c r="G25" s="2" t="str">
        <x:v>General in-memory state synchronization (C06), or result delivery (C14).</x:v>
      </x:c>
      <x:c r="H25" s="2" t="str">
        <x:v>Require an established persistence-layer mechanism; involvement of a logging component alone is insufficient.</x:v>
      </x:c>
      <x:c r="I25" s="2" t="str">
        <x:v>Require an established persistence-layer mechanism; involvement of a logging component alone is insufficient.</x:v>
      </x:c>
      <x:c r="J25" s="2" t="n">
        <x:v>6</x:v>
      </x:c>
      <x:c r="K25" s="2" t="str">
        <x:v>P0309: RuntimeError: Instance &lt;Document at 0xffff65b20440&gt; is not bound to a Session when chunking any document in a knowledge pipeline
See the evidence examples table for complete references and excerpts.
P0333: [Bug] Shared db.session used for side-effect writes in multimodal streaming and RAG callback handlers
See the evidence examples table for complete references and excerpts.</x:v>
      </x:c>
      <x:c r="L25" s="2" t="str">
        <x:v>https://github.com/langgenius/dify/issues/26511
E2: supported by the original report/comments; not experimentally confirmed
https://github.com/langgenius/dify/issues/38176
E2: supported by the original report/comments; not experimentally 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34b59fea492d4e9e"/>
  </x:tableParts>
</x:worksheet>
</file>